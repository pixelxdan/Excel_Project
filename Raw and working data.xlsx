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MIS PROJECT\"/>
    </mc:Choice>
  </mc:AlternateContent>
  <xr:revisionPtr revIDLastSave="0" documentId="8_{29DF229C-F45B-419E-94CE-2D005E1BD073}" xr6:coauthVersionLast="47" xr6:coauthVersionMax="47" xr10:uidLastSave="{00000000-0000-0000-0000-000000000000}"/>
  <bookViews>
    <workbookView xWindow="-108" yWindow="-108" windowWidth="23256" windowHeight="13896" activeTab="3" xr2:uid="{E8A2B6E8-F8C0-4111-8777-117052936B63}"/>
  </bookViews>
  <sheets>
    <sheet name="Project Guide" sheetId="6" r:id="rId1"/>
    <sheet name="Sales Data" sheetId="1" r:id="rId2"/>
    <sheet name="Expense Data" sheetId="7" r:id="rId3"/>
    <sheet name="Pivot" sheetId="9" r:id="rId4"/>
    <sheet name="Dashboard" sheetId="12" r:id="rId5"/>
    <sheet name="Expense Report" sheetId="8" r:id="rId6"/>
    <sheet name="Daily &amp; Monthly Sales Report" sheetId="2" r:id="rId7"/>
    <sheet name="Product Report" sheetId="3" r:id="rId8"/>
    <sheet name="Custome Report " sheetId="4" r:id="rId9"/>
  </sheets>
  <definedNames>
    <definedName name="_xlnm._FilterDatabase" localSheetId="5" hidden="1">'Expense Report'!$A$3:$E$35</definedName>
    <definedName name="_xlnm._FilterDatabase" localSheetId="7" hidden="1">'Product Report'!$A$3:$D$3</definedName>
    <definedName name="Slicer_Invoice_Date">#N/A</definedName>
  </definedNames>
  <calcPr calcId="191029"/>
  <pivotCaches>
    <pivotCache cacheId="1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4" l="1"/>
  <c r="D6" i="4"/>
  <c r="D7" i="4"/>
  <c r="D8" i="4"/>
  <c r="D9" i="4"/>
  <c r="D10" i="4"/>
  <c r="D11" i="4"/>
  <c r="D12" i="4"/>
  <c r="D13" i="4"/>
  <c r="D14" i="4"/>
  <c r="D15" i="4"/>
  <c r="D16" i="4"/>
  <c r="D17" i="4"/>
  <c r="D18" i="4"/>
  <c r="D19" i="4"/>
  <c r="D4" i="4"/>
  <c r="Y3" i="12"/>
  <c r="V3" i="12"/>
  <c r="S3" i="12"/>
  <c r="P3" i="12"/>
  <c r="M3" i="12"/>
</calcChain>
</file>

<file path=xl/sharedStrings.xml><?xml version="1.0" encoding="utf-8"?>
<sst xmlns="http://schemas.openxmlformats.org/spreadsheetml/2006/main" count="5496" uniqueCount="682">
  <si>
    <t>Invoice No</t>
  </si>
  <si>
    <t>Invoice Date</t>
  </si>
  <si>
    <t>SKU</t>
  </si>
  <si>
    <t>Product Name</t>
  </si>
  <si>
    <t>Category</t>
  </si>
  <si>
    <t>Customer ID</t>
  </si>
  <si>
    <t>Customer Name</t>
  </si>
  <si>
    <t>City</t>
  </si>
  <si>
    <t>Quantity</t>
  </si>
  <si>
    <t>UOM</t>
  </si>
  <si>
    <t>Unit Selling Price (INR)</t>
  </si>
  <si>
    <t>Discount %</t>
  </si>
  <si>
    <t>Gross Sales (INR)</t>
  </si>
  <si>
    <t>Net Sales (INR)</t>
  </si>
  <si>
    <t>COGS (INR)</t>
  </si>
  <si>
    <t>Gross Profit (INR)</t>
  </si>
  <si>
    <t>Payment Mode</t>
  </si>
  <si>
    <t>Order Status</t>
  </si>
  <si>
    <t>Sales Region</t>
  </si>
  <si>
    <t>INV-26-09-0001</t>
  </si>
  <si>
    <t>FB003</t>
  </si>
  <si>
    <t>Tomato Ketchup 500g</t>
  </si>
  <si>
    <t>Sauces</t>
  </si>
  <si>
    <t>C013</t>
  </si>
  <si>
    <t>Shree Balaji Store</t>
  </si>
  <si>
    <t>Meerut</t>
  </si>
  <si>
    <t>Bottle</t>
  </si>
  <si>
    <t>Credit</t>
  </si>
  <si>
    <t>Returned</t>
  </si>
  <si>
    <t>Central</t>
  </si>
  <si>
    <t>INV-26-09-0002</t>
  </si>
  <si>
    <t>FB010</t>
  </si>
  <si>
    <t>Mixed Namkeen 200g</t>
  </si>
  <si>
    <t>Snacks</t>
  </si>
  <si>
    <t>C004</t>
  </si>
  <si>
    <t>Kumar Traders</t>
  </si>
  <si>
    <t>Rohtak</t>
  </si>
  <si>
    <t>Pack</t>
  </si>
  <si>
    <t>Delivered</t>
  </si>
  <si>
    <t>INV-26-09-0003</t>
  </si>
  <si>
    <t>FB001</t>
  </si>
  <si>
    <t>Classic Potato Chips</t>
  </si>
  <si>
    <t>C005</t>
  </si>
  <si>
    <t>Daily Needs Store</t>
  </si>
  <si>
    <t>Gurugram</t>
  </si>
  <si>
    <t>Cash</t>
  </si>
  <si>
    <t>INV-26-09-0004</t>
  </si>
  <si>
    <t>FB004</t>
  </si>
  <si>
    <t>Mango Drink 200ml</t>
  </si>
  <si>
    <t>Beverages</t>
  </si>
  <si>
    <t>C008</t>
  </si>
  <si>
    <t>Jai Maa Enterprises</t>
  </si>
  <si>
    <t>Bahadurgarh</t>
  </si>
  <si>
    <t>Tetra Pack</t>
  </si>
  <si>
    <t>UPI</t>
  </si>
  <si>
    <t>INV-26-09-0005</t>
  </si>
  <si>
    <t>C007</t>
  </si>
  <si>
    <t>Metro Foods Retail</t>
  </si>
  <si>
    <t>Noida</t>
  </si>
  <si>
    <t>INV-26-09-0006</t>
  </si>
  <si>
    <t>FB007</t>
  </si>
  <si>
    <t>Chocolate Cookies 150g</t>
  </si>
  <si>
    <t>Bakery</t>
  </si>
  <si>
    <t>North</t>
  </si>
  <si>
    <t>INV-26-09-0007</t>
  </si>
  <si>
    <t>FB005</t>
  </si>
  <si>
    <t>Orange Drink 200ml</t>
  </si>
  <si>
    <t>Pending</t>
  </si>
  <si>
    <t>West</t>
  </si>
  <si>
    <t>INV-26-09-0008</t>
  </si>
  <si>
    <t>C014</t>
  </si>
  <si>
    <t>National Distributors</t>
  </si>
  <si>
    <t>Chandigarh</t>
  </si>
  <si>
    <t>Bank Transfer</t>
  </si>
  <si>
    <t>INV-26-09-0009</t>
  </si>
  <si>
    <t>INV-26-09-0010</t>
  </si>
  <si>
    <t>FB002</t>
  </si>
  <si>
    <t>Masala Potato Chips</t>
  </si>
  <si>
    <t>C012</t>
  </si>
  <si>
    <t>New India Mart</t>
  </si>
  <si>
    <t>Ghaziabad</t>
  </si>
  <si>
    <t>INV-26-09-0011</t>
  </si>
  <si>
    <t>FB009</t>
  </si>
  <si>
    <t>Roasted Peanuts 100g</t>
  </si>
  <si>
    <t>C002</t>
  </si>
  <si>
    <t>Fresh Mart</t>
  </si>
  <si>
    <t>Sonipat</t>
  </si>
  <si>
    <t>INV-26-09-0012</t>
  </si>
  <si>
    <t>FB008</t>
  </si>
  <si>
    <t>Cream Biscuits 100g</t>
  </si>
  <si>
    <t>INV-26-09-0013</t>
  </si>
  <si>
    <t>INV-26-09-0014</t>
  </si>
  <si>
    <t>C001</t>
  </si>
  <si>
    <t>Sharma General Store</t>
  </si>
  <si>
    <t>Delhi</t>
  </si>
  <si>
    <t>INV-26-09-0015</t>
  </si>
  <si>
    <t>INV-26-09-0016</t>
  </si>
  <si>
    <t>C015</t>
  </si>
  <si>
    <t>Happy Family Store</t>
  </si>
  <si>
    <t>INV-26-09-0017</t>
  </si>
  <si>
    <t>INV-26-09-0018</t>
  </si>
  <si>
    <t>C011</t>
  </si>
  <si>
    <t>Om Wholesale</t>
  </si>
  <si>
    <t>Ambala</t>
  </si>
  <si>
    <t>INV-26-09-0019</t>
  </si>
  <si>
    <t>INV-26-09-0020</t>
  </si>
  <si>
    <t>FB006</t>
  </si>
  <si>
    <t>Instant Noodles 70g</t>
  </si>
  <si>
    <t>Ready-to-Eat</t>
  </si>
  <si>
    <t>INV-26-09-0021</t>
  </si>
  <si>
    <t>INV-26-09-0022</t>
  </si>
  <si>
    <t>INV-26-09-0023</t>
  </si>
  <si>
    <t>C009</t>
  </si>
  <si>
    <t>Ravi Provision Store</t>
  </si>
  <si>
    <t>Hisar</t>
  </si>
  <si>
    <t>INV-26-09-0024</t>
  </si>
  <si>
    <t>C003</t>
  </si>
  <si>
    <t>City Supermarket</t>
  </si>
  <si>
    <t>Panipat</t>
  </si>
  <si>
    <t>INV-26-09-0025</t>
  </si>
  <si>
    <t>INV-26-09-0026</t>
  </si>
  <si>
    <t>INV-26-09-0027</t>
  </si>
  <si>
    <t>INV-26-09-0028</t>
  </si>
  <si>
    <t>INV-26-09-0029</t>
  </si>
  <si>
    <t>INV-26-09-0030</t>
  </si>
  <si>
    <t>INV-26-09-0031</t>
  </si>
  <si>
    <t>INV-26-09-0032</t>
  </si>
  <si>
    <t>C010</t>
  </si>
  <si>
    <t>Green Basket</t>
  </si>
  <si>
    <t>Faridabad</t>
  </si>
  <si>
    <t>INV-26-09-0033</t>
  </si>
  <si>
    <t>INV-26-09-0034</t>
  </si>
  <si>
    <t>INV-26-09-0035</t>
  </si>
  <si>
    <t>INV-26-09-0036</t>
  </si>
  <si>
    <t>INV-26-09-0037</t>
  </si>
  <si>
    <t>INV-26-09-0038</t>
  </si>
  <si>
    <t>INV-26-09-0039</t>
  </si>
  <si>
    <t>INV-26-09-0040</t>
  </si>
  <si>
    <t>INV-26-09-0041</t>
  </si>
  <si>
    <t>INV-26-09-0042</t>
  </si>
  <si>
    <t>INV-26-09-0043</t>
  </si>
  <si>
    <t>INV-26-09-0044</t>
  </si>
  <si>
    <t>C006</t>
  </si>
  <si>
    <t>A-One Distributors</t>
  </si>
  <si>
    <t>Karnal</t>
  </si>
  <si>
    <t>INV-26-09-0045</t>
  </si>
  <si>
    <t>INV-26-09-0046</t>
  </si>
  <si>
    <t>INV-26-09-0047</t>
  </si>
  <si>
    <t>INV-26-09-0048</t>
  </si>
  <si>
    <t>INV-26-09-0049</t>
  </si>
  <si>
    <t>INV-26-09-0050</t>
  </si>
  <si>
    <t>INV-26-09-0051</t>
  </si>
  <si>
    <t>INV-26-09-0052</t>
  </si>
  <si>
    <t>INV-26-09-0053</t>
  </si>
  <si>
    <t>INV-26-09-0054</t>
  </si>
  <si>
    <t>INV-26-09-0055</t>
  </si>
  <si>
    <t>INV-26-09-0056</t>
  </si>
  <si>
    <t>INV-26-09-0057</t>
  </si>
  <si>
    <t>INV-26-09-0058</t>
  </si>
  <si>
    <t>INV-26-09-0059</t>
  </si>
  <si>
    <t>INV-26-09-0060</t>
  </si>
  <si>
    <t>INV-26-09-0061</t>
  </si>
  <si>
    <t>INV-26-09-0062</t>
  </si>
  <si>
    <t>INV-26-09-0063</t>
  </si>
  <si>
    <t>INV-26-09-0064</t>
  </si>
  <si>
    <t>INV-26-09-0065</t>
  </si>
  <si>
    <t>INV-26-09-0066</t>
  </si>
  <si>
    <t>INV-26-09-0067</t>
  </si>
  <si>
    <t>INV-26-09-0068</t>
  </si>
  <si>
    <t>INV-26-09-0069</t>
  </si>
  <si>
    <t>INV-26-09-0070</t>
  </si>
  <si>
    <t>INV-26-09-0071</t>
  </si>
  <si>
    <t>INV-26-09-0072</t>
  </si>
  <si>
    <t>INV-26-09-0073</t>
  </si>
  <si>
    <t>INV-26-09-0074</t>
  </si>
  <si>
    <t>INV-26-09-0075</t>
  </si>
  <si>
    <t>INV-26-09-0076</t>
  </si>
  <si>
    <t>INV-26-09-0077</t>
  </si>
  <si>
    <t>INV-26-09-0078</t>
  </si>
  <si>
    <t>INV-26-09-0079</t>
  </si>
  <si>
    <t>INV-26-09-0080</t>
  </si>
  <si>
    <t>INV-26-09-0081</t>
  </si>
  <si>
    <t>INV-26-09-0082</t>
  </si>
  <si>
    <t>INV-26-09-0083</t>
  </si>
  <si>
    <t>INV-26-09-0084</t>
  </si>
  <si>
    <t>INV-26-09-0085</t>
  </si>
  <si>
    <t>INV-26-09-0086</t>
  </si>
  <si>
    <t>INV-26-09-0087</t>
  </si>
  <si>
    <t>INV-26-09-0088</t>
  </si>
  <si>
    <t>INV-26-09-0089</t>
  </si>
  <si>
    <t>INV-26-09-0090</t>
  </si>
  <si>
    <t>INV-26-09-0091</t>
  </si>
  <si>
    <t>INV-26-09-0092</t>
  </si>
  <si>
    <t>INV-26-09-0093</t>
  </si>
  <si>
    <t>INV-26-09-0094</t>
  </si>
  <si>
    <t>INV-26-09-0095</t>
  </si>
  <si>
    <t>INV-26-09-0096</t>
  </si>
  <si>
    <t>INV-26-09-0097</t>
  </si>
  <si>
    <t>INV-26-09-0098</t>
  </si>
  <si>
    <t>INV-26-09-0099</t>
  </si>
  <si>
    <t>INV-26-09-0100</t>
  </si>
  <si>
    <t>INV-26-09-0101</t>
  </si>
  <si>
    <t>INV-26-09-0102</t>
  </si>
  <si>
    <t>INV-26-09-0103</t>
  </si>
  <si>
    <t>INV-26-09-0104</t>
  </si>
  <si>
    <t>INV-26-09-0105</t>
  </si>
  <si>
    <t>INV-26-09-0106</t>
  </si>
  <si>
    <t>INV-26-09-0107</t>
  </si>
  <si>
    <t>INV-26-09-0108</t>
  </si>
  <si>
    <t>INV-26-09-0109</t>
  </si>
  <si>
    <t>INV-26-09-0110</t>
  </si>
  <si>
    <t>INV-26-09-0111</t>
  </si>
  <si>
    <t>INV-26-09-0112</t>
  </si>
  <si>
    <t>INV-26-09-0113</t>
  </si>
  <si>
    <t>INV-26-09-0114</t>
  </si>
  <si>
    <t>INV-26-09-0115</t>
  </si>
  <si>
    <t>INV-26-09-0116</t>
  </si>
  <si>
    <t>INV-26-09-0117</t>
  </si>
  <si>
    <t>INV-26-09-0118</t>
  </si>
  <si>
    <t>INV-26-09-0119</t>
  </si>
  <si>
    <t>INV-26-09-0120</t>
  </si>
  <si>
    <t>INV-26-09-0121</t>
  </si>
  <si>
    <t>INV-26-09-0122</t>
  </si>
  <si>
    <t>INV-26-09-0123</t>
  </si>
  <si>
    <t>INV-26-09-0124</t>
  </si>
  <si>
    <t>INV-26-09-0125</t>
  </si>
  <si>
    <t>INV-26-09-0126</t>
  </si>
  <si>
    <t>INV-26-09-0127</t>
  </si>
  <si>
    <t>INV-26-09-0128</t>
  </si>
  <si>
    <t>INV-26-09-0129</t>
  </si>
  <si>
    <t>INV-26-09-0130</t>
  </si>
  <si>
    <t>INV-26-09-0131</t>
  </si>
  <si>
    <t>INV-26-09-0132</t>
  </si>
  <si>
    <t>INV-26-09-0133</t>
  </si>
  <si>
    <t>INV-26-09-0134</t>
  </si>
  <si>
    <t>INV-26-09-0135</t>
  </si>
  <si>
    <t>INV-26-09-0136</t>
  </si>
  <si>
    <t>INV-26-09-0137</t>
  </si>
  <si>
    <t>INV-26-09-0138</t>
  </si>
  <si>
    <t>INV-26-09-0139</t>
  </si>
  <si>
    <t>INV-26-09-0140</t>
  </si>
  <si>
    <t>INV-26-09-0141</t>
  </si>
  <si>
    <t>INV-26-09-0142</t>
  </si>
  <si>
    <t>INV-26-09-0143</t>
  </si>
  <si>
    <t>INV-26-09-0144</t>
  </si>
  <si>
    <t>INV-26-09-0145</t>
  </si>
  <si>
    <t>INV-26-09-0146</t>
  </si>
  <si>
    <t>INV-26-09-0147</t>
  </si>
  <si>
    <t>INV-26-09-0148</t>
  </si>
  <si>
    <t>INV-26-09-0149</t>
  </si>
  <si>
    <t>INV-26-09-0150</t>
  </si>
  <si>
    <t>INV-26-09-0151</t>
  </si>
  <si>
    <t>INV-26-09-0152</t>
  </si>
  <si>
    <t>INV-26-09-0153</t>
  </si>
  <si>
    <t>INV-26-09-0154</t>
  </si>
  <si>
    <t>INV-26-09-0155</t>
  </si>
  <si>
    <t>INV-26-09-0156</t>
  </si>
  <si>
    <t>INV-26-09-0157</t>
  </si>
  <si>
    <t>INV-26-09-0158</t>
  </si>
  <si>
    <t>INV-26-09-0159</t>
  </si>
  <si>
    <t>INV-26-09-0160</t>
  </si>
  <si>
    <t>INV-26-09-0161</t>
  </si>
  <si>
    <t>INV-26-09-0162</t>
  </si>
  <si>
    <t>INV-26-09-0163</t>
  </si>
  <si>
    <t>INV-26-09-0164</t>
  </si>
  <si>
    <t>INV-26-09-0165</t>
  </si>
  <si>
    <t>INV-26-09-0166</t>
  </si>
  <si>
    <t>INV-26-09-0167</t>
  </si>
  <si>
    <t>INV-26-09-0168</t>
  </si>
  <si>
    <t>INV-26-09-0169</t>
  </si>
  <si>
    <t>INV-26-09-0170</t>
  </si>
  <si>
    <t>INV-26-09-0171</t>
  </si>
  <si>
    <t>INV-26-09-0172</t>
  </si>
  <si>
    <t>INV-26-09-0173</t>
  </si>
  <si>
    <t>INV-26-09-0174</t>
  </si>
  <si>
    <t>INV-26-09-0175</t>
  </si>
  <si>
    <t>INV-26-09-0176</t>
  </si>
  <si>
    <t>INV-26-09-0177</t>
  </si>
  <si>
    <t>INV-26-09-0178</t>
  </si>
  <si>
    <t>INV-26-09-0179</t>
  </si>
  <si>
    <t>INV-26-09-0180</t>
  </si>
  <si>
    <t>INV-26-09-0181</t>
  </si>
  <si>
    <t>INV-26-09-0182</t>
  </si>
  <si>
    <t>INV-26-09-0183</t>
  </si>
  <si>
    <t>INV-26-09-0184</t>
  </si>
  <si>
    <t>INV-26-09-0185</t>
  </si>
  <si>
    <t>INV-26-09-0186</t>
  </si>
  <si>
    <t>INV-26-09-0187</t>
  </si>
  <si>
    <t>INV-26-09-0188</t>
  </si>
  <si>
    <t>INV-26-09-0189</t>
  </si>
  <si>
    <t>INV-26-09-0190</t>
  </si>
  <si>
    <t>INV-26-09-0191</t>
  </si>
  <si>
    <t>INV-26-09-0192</t>
  </si>
  <si>
    <t>INV-26-09-0193</t>
  </si>
  <si>
    <t>INV-26-09-0194</t>
  </si>
  <si>
    <t>INV-26-09-0195</t>
  </si>
  <si>
    <t>INV-26-09-0196</t>
  </si>
  <si>
    <t>INV-26-09-0197</t>
  </si>
  <si>
    <t>INV-26-09-0198</t>
  </si>
  <si>
    <t>INV-26-09-0199</t>
  </si>
  <si>
    <t>INV-26-09-0200</t>
  </si>
  <si>
    <t>INV-26-09-0201</t>
  </si>
  <si>
    <t>INV-26-09-0202</t>
  </si>
  <si>
    <t>INV-26-09-0203</t>
  </si>
  <si>
    <t>INV-26-09-0204</t>
  </si>
  <si>
    <t>INV-26-09-0205</t>
  </si>
  <si>
    <t>INV-26-09-0206</t>
  </si>
  <si>
    <t>INV-26-09-0207</t>
  </si>
  <si>
    <t>INV-26-09-0208</t>
  </si>
  <si>
    <t>INV-26-09-0209</t>
  </si>
  <si>
    <t>INV-26-09-0210</t>
  </si>
  <si>
    <t>INV-26-09-0211</t>
  </si>
  <si>
    <t>INV-26-09-0212</t>
  </si>
  <si>
    <t>INV-26-09-0213</t>
  </si>
  <si>
    <t>INV-26-09-0214</t>
  </si>
  <si>
    <t>INV-26-09-0215</t>
  </si>
  <si>
    <t>INV-26-09-0216</t>
  </si>
  <si>
    <t>INV-26-09-0217</t>
  </si>
  <si>
    <t>INV-26-09-0218</t>
  </si>
  <si>
    <t>INV-26-09-0219</t>
  </si>
  <si>
    <t>INV-26-09-0220</t>
  </si>
  <si>
    <t>INV-26-09-0221</t>
  </si>
  <si>
    <t>INV-26-09-0222</t>
  </si>
  <si>
    <t>INV-26-09-0223</t>
  </si>
  <si>
    <t>INV-26-09-0224</t>
  </si>
  <si>
    <t>INV-26-09-0225</t>
  </si>
  <si>
    <t>INV-26-09-0226</t>
  </si>
  <si>
    <t>INV-26-09-0227</t>
  </si>
  <si>
    <t>INV-26-09-0228</t>
  </si>
  <si>
    <t>INV-26-09-0229</t>
  </si>
  <si>
    <t>INV-26-09-0230</t>
  </si>
  <si>
    <t>INV-26-09-0231</t>
  </si>
  <si>
    <t>INV-26-09-0232</t>
  </si>
  <si>
    <t>INV-26-09-0233</t>
  </si>
  <si>
    <t>INV-26-09-0234</t>
  </si>
  <si>
    <t>INV-26-09-0235</t>
  </si>
  <si>
    <t>INV-26-09-0236</t>
  </si>
  <si>
    <t>INV-26-09-0237</t>
  </si>
  <si>
    <t>INV-26-09-0238</t>
  </si>
  <si>
    <t>INV-26-09-0239</t>
  </si>
  <si>
    <t>INV-26-09-0240</t>
  </si>
  <si>
    <t>INV-26-09-0241</t>
  </si>
  <si>
    <t>INV-26-09-0242</t>
  </si>
  <si>
    <t>INV-26-09-0243</t>
  </si>
  <si>
    <t>INV-26-09-0244</t>
  </si>
  <si>
    <t>INV-26-09-0245</t>
  </si>
  <si>
    <t>INV-26-09-0246</t>
  </si>
  <si>
    <t>INV-26-09-0247</t>
  </si>
  <si>
    <t>INV-26-09-0248</t>
  </si>
  <si>
    <t>INV-26-09-0249</t>
  </si>
  <si>
    <t>INV-26-09-0250</t>
  </si>
  <si>
    <t>INV-26-09-0251</t>
  </si>
  <si>
    <t>INV-26-09-0252</t>
  </si>
  <si>
    <t>INV-26-09-0253</t>
  </si>
  <si>
    <t>INV-26-09-0254</t>
  </si>
  <si>
    <t>INV-26-09-0255</t>
  </si>
  <si>
    <t>INV-26-09-0256</t>
  </si>
  <si>
    <t>INV-26-09-0257</t>
  </si>
  <si>
    <t>INV-26-09-0258</t>
  </si>
  <si>
    <t>INV-26-09-0259</t>
  </si>
  <si>
    <t>INV-26-09-0260</t>
  </si>
  <si>
    <t>INV-26-09-0261</t>
  </si>
  <si>
    <t>INV-26-09-0262</t>
  </si>
  <si>
    <t>INV-26-09-0263</t>
  </si>
  <si>
    <t>INV-26-09-0264</t>
  </si>
  <si>
    <t>INV-26-09-0265</t>
  </si>
  <si>
    <t>INV-26-09-0266</t>
  </si>
  <si>
    <t>INV-26-09-0267</t>
  </si>
  <si>
    <t>INV-26-09-0268</t>
  </si>
  <si>
    <t>INV-26-09-0269</t>
  </si>
  <si>
    <t>INV-26-09-0270</t>
  </si>
  <si>
    <t>INV-26-09-0271</t>
  </si>
  <si>
    <t>INV-26-09-0272</t>
  </si>
  <si>
    <t>INV-26-09-0273</t>
  </si>
  <si>
    <t>INV-26-09-0274</t>
  </si>
  <si>
    <t>INV-26-09-0275</t>
  </si>
  <si>
    <t>INV-26-09-0276</t>
  </si>
  <si>
    <t>INV-26-09-0277</t>
  </si>
  <si>
    <t>INV-26-09-0278</t>
  </si>
  <si>
    <t>INV-26-09-0279</t>
  </si>
  <si>
    <t>INV-26-09-0280</t>
  </si>
  <si>
    <t>INV-26-09-0281</t>
  </si>
  <si>
    <t>INV-26-09-0282</t>
  </si>
  <si>
    <t>INV-26-09-0283</t>
  </si>
  <si>
    <t>INV-26-09-0284</t>
  </si>
  <si>
    <t>INV-26-09-0285</t>
  </si>
  <si>
    <t>INV-26-09-0286</t>
  </si>
  <si>
    <t>INV-26-09-0287</t>
  </si>
  <si>
    <t>INV-26-09-0288</t>
  </si>
  <si>
    <t>INV-26-09-0289</t>
  </si>
  <si>
    <t>INV-26-09-0290</t>
  </si>
  <si>
    <t>INV-26-09-0291</t>
  </si>
  <si>
    <t>INV-26-09-0292</t>
  </si>
  <si>
    <t>INV-26-09-0293</t>
  </si>
  <si>
    <t>INV-26-09-0294</t>
  </si>
  <si>
    <t>INV-26-09-0295</t>
  </si>
  <si>
    <t>INV-26-09-0296</t>
  </si>
  <si>
    <t>INV-26-09-0297</t>
  </si>
  <si>
    <t>INV-26-09-0298</t>
  </si>
  <si>
    <t>INV-26-09-0299</t>
  </si>
  <si>
    <t>INV-26-09-0300</t>
  </si>
  <si>
    <t>INV-26-09-0301</t>
  </si>
  <si>
    <t>INV-26-09-0302</t>
  </si>
  <si>
    <t>INV-26-09-0303</t>
  </si>
  <si>
    <t>INV-26-09-0304</t>
  </si>
  <si>
    <t>INV-26-09-0305</t>
  </si>
  <si>
    <t>INV-26-09-0306</t>
  </si>
  <si>
    <t>INV-26-09-0307</t>
  </si>
  <si>
    <t>INV-26-09-0308</t>
  </si>
  <si>
    <t>INV-26-09-0309</t>
  </si>
  <si>
    <t>INV-26-09-0310</t>
  </si>
  <si>
    <t>INV-26-09-0311</t>
  </si>
  <si>
    <t>INV-26-09-0312</t>
  </si>
  <si>
    <t>INV-26-09-0313</t>
  </si>
  <si>
    <t>INV-26-09-0314</t>
  </si>
  <si>
    <t>INV-26-09-0315</t>
  </si>
  <si>
    <t>INV-26-09-0316</t>
  </si>
  <si>
    <t>INV-26-09-0317</t>
  </si>
  <si>
    <t>INV-26-09-0318</t>
  </si>
  <si>
    <t>INV-26-09-0319</t>
  </si>
  <si>
    <t>INV-26-09-0320</t>
  </si>
  <si>
    <t>INV-26-09-0321</t>
  </si>
  <si>
    <t>INV-26-09-0322</t>
  </si>
  <si>
    <t>INV-26-09-0323</t>
  </si>
  <si>
    <t>INV-26-09-0324</t>
  </si>
  <si>
    <t>INV-26-09-0325</t>
  </si>
  <si>
    <t>INV-26-09-0326</t>
  </si>
  <si>
    <t>INV-26-09-0327</t>
  </si>
  <si>
    <t>INV-26-09-0328</t>
  </si>
  <si>
    <t>INV-26-09-0329</t>
  </si>
  <si>
    <t>INV-26-09-0330</t>
  </si>
  <si>
    <t>INV-26-09-0331</t>
  </si>
  <si>
    <t>INV-26-09-0332</t>
  </si>
  <si>
    <t>INV-26-09-0333</t>
  </si>
  <si>
    <t>INV-26-09-0334</t>
  </si>
  <si>
    <t>INV-26-09-0335</t>
  </si>
  <si>
    <t>INV-26-09-0336</t>
  </si>
  <si>
    <t>INV-26-09-0337</t>
  </si>
  <si>
    <t>INV-26-09-0338</t>
  </si>
  <si>
    <t>INV-26-09-0339</t>
  </si>
  <si>
    <t>INV-26-09-0340</t>
  </si>
  <si>
    <t>INV-26-09-0341</t>
  </si>
  <si>
    <t>INV-26-09-0342</t>
  </si>
  <si>
    <t>INV-26-09-0343</t>
  </si>
  <si>
    <t>INV-26-09-0344</t>
  </si>
  <si>
    <t>INV-26-09-0345</t>
  </si>
  <si>
    <t>INV-26-09-0346</t>
  </si>
  <si>
    <t>INV-26-09-0347</t>
  </si>
  <si>
    <t>INV-26-09-0348</t>
  </si>
  <si>
    <t>INV-26-09-0349</t>
  </si>
  <si>
    <t>INV-26-09-0350</t>
  </si>
  <si>
    <t>INV-26-09-0351</t>
  </si>
  <si>
    <t>INV-26-09-0352</t>
  </si>
  <si>
    <t>INV-26-09-0353</t>
  </si>
  <si>
    <t>INV-26-09-0354</t>
  </si>
  <si>
    <t>INV-26-09-0355</t>
  </si>
  <si>
    <t>INV-26-09-0356</t>
  </si>
  <si>
    <t>INV-26-09-0357</t>
  </si>
  <si>
    <t>INV-26-09-0358</t>
  </si>
  <si>
    <t>INV-26-09-0359</t>
  </si>
  <si>
    <t>INV-26-09-0360</t>
  </si>
  <si>
    <t>INV-26-09-0361</t>
  </si>
  <si>
    <t>INV-26-09-0362</t>
  </si>
  <si>
    <t>INV-26-09-0363</t>
  </si>
  <si>
    <t>INV-26-09-0364</t>
  </si>
  <si>
    <t>INV-26-09-0365</t>
  </si>
  <si>
    <t>INV-26-09-0366</t>
  </si>
  <si>
    <t>INV-26-09-0367</t>
  </si>
  <si>
    <t>INV-26-09-0368</t>
  </si>
  <si>
    <t>INV-26-09-0369</t>
  </si>
  <si>
    <t>INV-26-09-0370</t>
  </si>
  <si>
    <t>INV-26-09-0371</t>
  </si>
  <si>
    <t>INV-26-09-0372</t>
  </si>
  <si>
    <t>INV-26-09-0373</t>
  </si>
  <si>
    <t>INV-26-09-0374</t>
  </si>
  <si>
    <t>INV-26-09-0375</t>
  </si>
  <si>
    <t>INV-26-09-0376</t>
  </si>
  <si>
    <t>INV-26-09-0377</t>
  </si>
  <si>
    <t>INV-26-09-0378</t>
  </si>
  <si>
    <t>INV-26-09-0379</t>
  </si>
  <si>
    <t>INV-26-09-0380</t>
  </si>
  <si>
    <t>INV-26-09-0381</t>
  </si>
  <si>
    <t>INV-26-09-0382</t>
  </si>
  <si>
    <t>INV-26-09-0383</t>
  </si>
  <si>
    <t>INV-26-09-0384</t>
  </si>
  <si>
    <t>INV-26-09-0385</t>
  </si>
  <si>
    <t>INV-26-09-0386</t>
  </si>
  <si>
    <t>INV-26-09-0387</t>
  </si>
  <si>
    <t>INV-26-09-0388</t>
  </si>
  <si>
    <t>INV-26-09-0389</t>
  </si>
  <si>
    <t>INV-26-09-0390</t>
  </si>
  <si>
    <t>INV-26-09-0391</t>
  </si>
  <si>
    <t>INV-26-09-0392</t>
  </si>
  <si>
    <t>INV-26-09-0393</t>
  </si>
  <si>
    <t>INV-26-09-0394</t>
  </si>
  <si>
    <t>INV-26-09-0395</t>
  </si>
  <si>
    <t>INV-26-09-0396</t>
  </si>
  <si>
    <t>INV-26-09-0397</t>
  </si>
  <si>
    <t>INV-26-09-0398</t>
  </si>
  <si>
    <t>INV-26-09-0399</t>
  </si>
  <si>
    <t>INV-26-09-0400</t>
  </si>
  <si>
    <t>INV-26-09-0401</t>
  </si>
  <si>
    <t>INV-26-09-0402</t>
  </si>
  <si>
    <t>INV-26-09-0403</t>
  </si>
  <si>
    <t>INV-26-09-0404</t>
  </si>
  <si>
    <t>INV-26-09-0405</t>
  </si>
  <si>
    <t>INV-26-09-0406</t>
  </si>
  <si>
    <t>INV-26-09-0407</t>
  </si>
  <si>
    <t>INV-26-09-0408</t>
  </si>
  <si>
    <t>INV-26-09-0409</t>
  </si>
  <si>
    <t>INV-26-09-0410</t>
  </si>
  <si>
    <t>INV-26-09-0411</t>
  </si>
  <si>
    <t>INV-26-09-0412</t>
  </si>
  <si>
    <t>INV-26-09-0413</t>
  </si>
  <si>
    <t>INV-26-09-0414</t>
  </si>
  <si>
    <t>INV-26-09-0415</t>
  </si>
  <si>
    <t>INV-26-09-0416</t>
  </si>
  <si>
    <t>INV-26-09-0417</t>
  </si>
  <si>
    <t>INV-26-09-0418</t>
  </si>
  <si>
    <t>INV-26-09-0419</t>
  </si>
  <si>
    <t>INV-26-09-0420</t>
  </si>
  <si>
    <t>INV-26-09-0421</t>
  </si>
  <si>
    <t>INV-26-09-0422</t>
  </si>
  <si>
    <t>INV-26-09-0423</t>
  </si>
  <si>
    <t>INV-26-09-0424</t>
  </si>
  <si>
    <t>INV-26-09-0425</t>
  </si>
  <si>
    <t>INV-26-09-0426</t>
  </si>
  <si>
    <t>INV-26-09-0427</t>
  </si>
  <si>
    <t>INV-26-09-0428</t>
  </si>
  <si>
    <t>INV-26-09-0429</t>
  </si>
  <si>
    <t>INV-26-09-0430</t>
  </si>
  <si>
    <t>INV-26-09-0431</t>
  </si>
  <si>
    <t>INV-26-09-0432</t>
  </si>
  <si>
    <t>INV-26-09-0433</t>
  </si>
  <si>
    <t>INV-26-09-0434</t>
  </si>
  <si>
    <t>INV-26-09-0435</t>
  </si>
  <si>
    <t>INV-26-09-0436</t>
  </si>
  <si>
    <t>INV-26-09-0437</t>
  </si>
  <si>
    <t>INV-26-09-0438</t>
  </si>
  <si>
    <t>INV-26-09-0439</t>
  </si>
  <si>
    <t>INV-26-09-0440</t>
  </si>
  <si>
    <t>INV-26-09-0441</t>
  </si>
  <si>
    <t>INV-26-09-0442</t>
  </si>
  <si>
    <t>INV-26-09-0443</t>
  </si>
  <si>
    <t>INV-26-09-0444</t>
  </si>
  <si>
    <t>INV-26-09-0445</t>
  </si>
  <si>
    <t>INV-26-09-0446</t>
  </si>
  <si>
    <t>INV-26-09-0447</t>
  </si>
  <si>
    <t>INV-26-09-0448</t>
  </si>
  <si>
    <t>INV-26-09-0449</t>
  </si>
  <si>
    <t>INV-26-09-0450</t>
  </si>
  <si>
    <t>Grand Total</t>
  </si>
  <si>
    <t>Sum of Gross Profit (INR)</t>
  </si>
  <si>
    <t>Sum of Quantity</t>
  </si>
  <si>
    <t>Sum of Discount %</t>
  </si>
  <si>
    <t>Sum of Net Sales (INR)</t>
  </si>
  <si>
    <t xml:space="preserve"> Quantity</t>
  </si>
  <si>
    <t xml:space="preserve"> Gross Sales (INR)</t>
  </si>
  <si>
    <t xml:space="preserve"> Discount %</t>
  </si>
  <si>
    <t xml:space="preserve"> Net Sales (INR)</t>
  </si>
  <si>
    <t xml:space="preserve"> Gross Profit (INR)</t>
  </si>
  <si>
    <t>Daily Sales Report</t>
  </si>
  <si>
    <t xml:space="preserve"> </t>
  </si>
  <si>
    <t>Monthly Sales Report</t>
  </si>
  <si>
    <t>Product Wise Report</t>
  </si>
  <si>
    <t>Contribution</t>
  </si>
  <si>
    <t>Customer Contribution Report</t>
  </si>
  <si>
    <t>City Wise Sales Report</t>
  </si>
  <si>
    <t>Analysis</t>
  </si>
  <si>
    <t>Sales Report</t>
  </si>
  <si>
    <t>Daily sales, monthly sales</t>
  </si>
  <si>
    <t>Product Report</t>
  </si>
  <si>
    <t>Product-wise sales, profit, top-selling products</t>
  </si>
  <si>
    <t>Customer Report</t>
  </si>
  <si>
    <t>Customer contribution, city-wise sales</t>
  </si>
  <si>
    <t>Expense Report</t>
  </si>
  <si>
    <t>Department-wise expenses, paid vs pending</t>
  </si>
  <si>
    <t>Dashboard</t>
  </si>
  <si>
    <t>KPIs, charts, slicers, business insights</t>
  </si>
  <si>
    <t>Expense ID</t>
  </si>
  <si>
    <t>Expense Date</t>
  </si>
  <si>
    <t>Expense Type</t>
  </si>
  <si>
    <t>Department</t>
  </si>
  <si>
    <t>Amount (INR)</t>
  </si>
  <si>
    <t>Payment Status</t>
  </si>
  <si>
    <t>Vendor</t>
  </si>
  <si>
    <t>EXP-26-09-001</t>
  </si>
  <si>
    <t>Marketing</t>
  </si>
  <si>
    <t>Warehouse</t>
  </si>
  <si>
    <t>Paid</t>
  </si>
  <si>
    <t>Supplier-09</t>
  </si>
  <si>
    <t>EXP-26-09-002</t>
  </si>
  <si>
    <t>Warehouse Rent</t>
  </si>
  <si>
    <t>Production</t>
  </si>
  <si>
    <t>Supplier-11</t>
  </si>
  <si>
    <t>EXP-26-09-003</t>
  </si>
  <si>
    <t>Staff Wages</t>
  </si>
  <si>
    <t>Supplier-12</t>
  </si>
  <si>
    <t>EXP-26-09-004</t>
  </si>
  <si>
    <t>EXP-26-09-005</t>
  </si>
  <si>
    <t>EXP-26-09-006</t>
  </si>
  <si>
    <t>Packaging</t>
  </si>
  <si>
    <t>Supplier-03</t>
  </si>
  <si>
    <t>EXP-26-09-007</t>
  </si>
  <si>
    <t>Admin</t>
  </si>
  <si>
    <t>EXP-26-09-008</t>
  </si>
  <si>
    <t>Maintenance</t>
  </si>
  <si>
    <t>Supplier-07</t>
  </si>
  <si>
    <t>EXP-26-09-009</t>
  </si>
  <si>
    <t>Sales</t>
  </si>
  <si>
    <t>Supplier-05</t>
  </si>
  <si>
    <t>EXP-26-09-010</t>
  </si>
  <si>
    <t>Supplier-06</t>
  </si>
  <si>
    <t>EXP-26-09-011</t>
  </si>
  <si>
    <t>Supplier-01</t>
  </si>
  <si>
    <t>EXP-26-09-012</t>
  </si>
  <si>
    <t>EXP-26-09-013</t>
  </si>
  <si>
    <t>Supplier-10</t>
  </si>
  <si>
    <t>EXP-26-09-014</t>
  </si>
  <si>
    <t>EXP-26-09-015</t>
  </si>
  <si>
    <t>EXP-26-09-016</t>
  </si>
  <si>
    <t>Supplier-08</t>
  </si>
  <si>
    <t>EXP-26-09-017</t>
  </si>
  <si>
    <t>EXP-26-09-018</t>
  </si>
  <si>
    <t>EXP-26-09-019</t>
  </si>
  <si>
    <t>Transport</t>
  </si>
  <si>
    <t>EXP-26-09-020</t>
  </si>
  <si>
    <t>EXP-26-09-021</t>
  </si>
  <si>
    <t>EXP-26-09-022</t>
  </si>
  <si>
    <t>EXP-26-09-023</t>
  </si>
  <si>
    <t>Factory Electricity</t>
  </si>
  <si>
    <t>EXP-26-09-024</t>
  </si>
  <si>
    <t>EXP-26-09-025</t>
  </si>
  <si>
    <t>EXP-26-09-026</t>
  </si>
  <si>
    <t>Supplier-04</t>
  </si>
  <si>
    <t>EXP-26-09-027</t>
  </si>
  <si>
    <t>EXP-26-09-028</t>
  </si>
  <si>
    <t>EXP-26-09-029</t>
  </si>
  <si>
    <t>EXP-26-09-030</t>
  </si>
  <si>
    <t>EXP-26-09-031</t>
  </si>
  <si>
    <t>Supplier-02</t>
  </si>
  <si>
    <t>EXP-26-09-032</t>
  </si>
  <si>
    <t>EXP-26-09-033</t>
  </si>
  <si>
    <t>EXP-26-09-034</t>
  </si>
  <si>
    <t>EXP-26-09-035</t>
  </si>
  <si>
    <t>EXP-26-09-036</t>
  </si>
  <si>
    <t>EXP-26-09-037</t>
  </si>
  <si>
    <t>EXP-26-09-038</t>
  </si>
  <si>
    <t>EXP-26-09-039</t>
  </si>
  <si>
    <t>EXP-26-09-040</t>
  </si>
  <si>
    <t>EXP-26-09-041</t>
  </si>
  <si>
    <t>EXP-26-09-042</t>
  </si>
  <si>
    <t>EXP-26-09-043</t>
  </si>
  <si>
    <t>EXP-26-09-044</t>
  </si>
  <si>
    <t>EXP-26-09-045</t>
  </si>
  <si>
    <t>EXP-26-09-046</t>
  </si>
  <si>
    <t>EXP-26-09-047</t>
  </si>
  <si>
    <t>EXP-26-09-048</t>
  </si>
  <si>
    <t>EXP-26-09-049</t>
  </si>
  <si>
    <t>EXP-26-09-050</t>
  </si>
  <si>
    <t>EXP-26-09-051</t>
  </si>
  <si>
    <t>EXP-26-09-052</t>
  </si>
  <si>
    <t>EXP-26-09-053</t>
  </si>
  <si>
    <t>EXP-26-09-054</t>
  </si>
  <si>
    <t>EXP-26-09-055</t>
  </si>
  <si>
    <t>EXP-26-09-056</t>
  </si>
  <si>
    <t>EXP-26-09-057</t>
  </si>
  <si>
    <t>EXP-26-09-058</t>
  </si>
  <si>
    <t>EXP-26-09-059</t>
  </si>
  <si>
    <t>EXP-26-09-060</t>
  </si>
  <si>
    <t>Admin Total</t>
  </si>
  <si>
    <t>Production Total</t>
  </si>
  <si>
    <t>Sales Total</t>
  </si>
  <si>
    <t>Warehouse Total</t>
  </si>
  <si>
    <t>`</t>
  </si>
  <si>
    <t>Sum of COGS (INR)</t>
  </si>
  <si>
    <t>Sales Dashboard</t>
  </si>
  <si>
    <t>TOTAL QTY</t>
  </si>
  <si>
    <t>NET SALE</t>
  </si>
  <si>
    <t>COGS</t>
  </si>
  <si>
    <t>PROFIT</t>
  </si>
  <si>
    <t>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</si>
</sst>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d\-mm\-yyyy"/>
  </numFmts>
  <fonts count="12" x14ac:knownFonts="1">
    <font>
      <sz val="11"/>
      <color theme="1"/>
      <name val="Calibri"/>
      <family val="2"/>
      <scheme val="minor"/>
    </font>
    <font>
      <sz val="11"/>
      <color theme="1"/>
      <name val="Calibri"/>
      <family val="2"/>
      <scheme val="minor"/>
    </font>
    <font>
      <b/>
      <sz val="11"/>
      <color rgb="FFFFFFFF"/>
      <name val="Calibri"/>
    </font>
    <font>
      <sz val="11"/>
      <color theme="1"/>
      <name val="Calibri"/>
      <scheme val="minor"/>
    </font>
    <font>
      <sz val="11"/>
      <color theme="1"/>
      <name val="Calibri"/>
    </font>
    <font>
      <b/>
      <sz val="14"/>
      <color theme="1"/>
      <name val="Calibri"/>
      <family val="2"/>
      <scheme val="minor"/>
    </font>
    <font>
      <b/>
      <sz val="16"/>
      <color theme="1"/>
      <name val="Calibri"/>
      <family val="2"/>
      <scheme val="minor"/>
    </font>
    <font>
      <b/>
      <sz val="14"/>
      <color theme="1"/>
      <name val="Calibri"/>
      <family val="2"/>
    </font>
    <font>
      <sz val="14"/>
      <color theme="1"/>
      <name val="Calibri"/>
      <family val="2"/>
    </font>
    <font>
      <b/>
      <sz val="11"/>
      <color rgb="FFFFFFFF"/>
      <name val="Calibri"/>
      <family val="2"/>
    </font>
    <font>
      <sz val="11"/>
      <color theme="1"/>
      <name val="Calibri"/>
      <family val="2"/>
    </font>
    <font>
      <b/>
      <sz val="28"/>
      <color theme="1"/>
      <name val="Calibri"/>
      <family val="2"/>
      <scheme val="minor"/>
    </font>
  </fonts>
  <fills count="9">
    <fill>
      <patternFill patternType="none"/>
    </fill>
    <fill>
      <patternFill patternType="gray125"/>
    </fill>
    <fill>
      <patternFill patternType="solid">
        <fgColor rgb="FF17365D"/>
        <bgColor rgb="FF17365D"/>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8DB3E2"/>
        <bgColor rgb="FF8DB3E2"/>
      </patternFill>
    </fill>
    <fill>
      <patternFill patternType="solid">
        <fgColor rgb="FFFFFF00"/>
        <bgColor rgb="FFFFFF00"/>
      </patternFill>
    </fill>
    <fill>
      <patternFill patternType="solid">
        <fgColor theme="0" tint="-0.49998474074526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diagonal/>
    </border>
    <border>
      <left style="hair">
        <color theme="1"/>
      </left>
      <right style="hair">
        <color theme="1"/>
      </right>
      <top style="hair">
        <color theme="1"/>
      </top>
      <bottom style="hair">
        <color theme="1"/>
      </bottom>
      <diagonal/>
    </border>
    <border>
      <left style="hair">
        <color theme="1"/>
      </left>
      <right style="medium">
        <color theme="1"/>
      </right>
      <top/>
      <bottom/>
      <diagonal/>
    </border>
    <border>
      <left style="medium">
        <color theme="1"/>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medium">
        <color theme="1"/>
      </left>
      <right style="thin">
        <color indexed="64"/>
      </right>
      <top style="medium">
        <color theme="1"/>
      </top>
      <bottom/>
      <diagonal/>
    </border>
    <border>
      <left style="thin">
        <color indexed="64"/>
      </left>
      <right style="medium">
        <color theme="1"/>
      </right>
      <top style="medium">
        <color theme="1"/>
      </top>
      <bottom/>
      <diagonal/>
    </border>
    <border>
      <left style="medium">
        <color theme="1"/>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medium">
        <color theme="1"/>
      </left>
      <right style="thin">
        <color indexed="64"/>
      </right>
      <top/>
      <bottom style="medium">
        <color theme="1"/>
      </bottom>
      <diagonal/>
    </border>
    <border>
      <left style="thin">
        <color indexed="64"/>
      </left>
      <right style="medium">
        <color theme="1"/>
      </right>
      <top/>
      <bottom style="medium">
        <color theme="1"/>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164" fontId="4" fillId="0" borderId="0" xfId="0" applyNumberFormat="1" applyFont="1"/>
    <xf numFmtId="0" fontId="0" fillId="0" borderId="0" xfId="0" applyAlignment="1">
      <alignment horizontal="left"/>
    </xf>
    <xf numFmtId="0" fontId="2" fillId="2" borderId="1" xfId="0" applyFont="1" applyFill="1" applyBorder="1" applyAlignment="1">
      <alignment horizontal="left"/>
    </xf>
    <xf numFmtId="0" fontId="0" fillId="0" borderId="0" xfId="0" pivotButton="1"/>
    <xf numFmtId="2" fontId="0" fillId="0" borderId="0" xfId="0" applyNumberFormat="1"/>
    <xf numFmtId="1" fontId="0" fillId="0" borderId="0" xfId="0" applyNumberFormat="1"/>
    <xf numFmtId="0" fontId="5" fillId="3" borderId="2" xfId="0" applyFont="1" applyFill="1" applyBorder="1"/>
    <xf numFmtId="1" fontId="5" fillId="3" borderId="2" xfId="0" applyNumberFormat="1" applyFont="1" applyFill="1" applyBorder="1"/>
    <xf numFmtId="2" fontId="5" fillId="3" borderId="2" xfId="0" applyNumberFormat="1" applyFont="1" applyFill="1" applyBorder="1"/>
    <xf numFmtId="165" fontId="0" fillId="0" borderId="2" xfId="0" applyNumberFormat="1" applyBorder="1"/>
    <xf numFmtId="1" fontId="0" fillId="0" borderId="2" xfId="0" applyNumberFormat="1" applyBorder="1"/>
    <xf numFmtId="2" fontId="0" fillId="0" borderId="2" xfId="0" applyNumberFormat="1" applyBorder="1"/>
    <xf numFmtId="0" fontId="0" fillId="0" borderId="2" xfId="0" applyBorder="1"/>
    <xf numFmtId="9" fontId="0" fillId="0" borderId="2" xfId="0" applyNumberFormat="1" applyBorder="1"/>
    <xf numFmtId="9" fontId="5" fillId="3" borderId="2" xfId="1" applyFont="1" applyFill="1" applyBorder="1"/>
    <xf numFmtId="0" fontId="8" fillId="7" borderId="2" xfId="0" applyFont="1" applyFill="1" applyBorder="1" applyAlignment="1">
      <alignment vertical="center" wrapText="1"/>
    </xf>
    <xf numFmtId="0" fontId="7" fillId="6" borderId="8" xfId="0" applyFont="1" applyFill="1" applyBorder="1" applyAlignment="1">
      <alignment horizontal="center" vertical="center"/>
    </xf>
    <xf numFmtId="0" fontId="9" fillId="2" borderId="1" xfId="0" applyFont="1" applyFill="1" applyBorder="1" applyAlignment="1">
      <alignment wrapText="1"/>
    </xf>
    <xf numFmtId="0" fontId="1" fillId="0" borderId="0" xfId="0" applyFont="1"/>
    <xf numFmtId="164" fontId="10" fillId="0" borderId="0" xfId="0" applyNumberFormat="1" applyFont="1"/>
    <xf numFmtId="0" fontId="0" fillId="8" borderId="0" xfId="0" applyFill="1"/>
    <xf numFmtId="0" fontId="0" fillId="8" borderId="10" xfId="0" applyFill="1" applyBorder="1"/>
    <xf numFmtId="0" fontId="5" fillId="8" borderId="0" xfId="0" applyFont="1" applyFill="1"/>
    <xf numFmtId="1" fontId="5" fillId="8" borderId="15" xfId="0" applyNumberFormat="1" applyFont="1" applyFill="1" applyBorder="1" applyAlignment="1">
      <alignment horizontal="center"/>
    </xf>
    <xf numFmtId="1" fontId="5" fillId="8" borderId="16" xfId="0" applyNumberFormat="1" applyFont="1" applyFill="1" applyBorder="1" applyAlignment="1">
      <alignment horizontal="center"/>
    </xf>
    <xf numFmtId="0" fontId="11" fillId="8" borderId="9"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8" borderId="13" xfId="0" applyFont="1" applyFill="1" applyBorder="1" applyAlignment="1">
      <alignment horizontal="center"/>
    </xf>
    <xf numFmtId="0" fontId="5" fillId="8" borderId="14" xfId="0" applyFont="1" applyFill="1" applyBorder="1" applyAlignment="1">
      <alignment horizontal="center"/>
    </xf>
    <xf numFmtId="0" fontId="5" fillId="8" borderId="11" xfId="0" applyFont="1" applyFill="1" applyBorder="1" applyAlignment="1">
      <alignment horizontal="center"/>
    </xf>
    <xf numFmtId="0" fontId="5" fillId="8" borderId="12" xfId="0" applyFont="1" applyFill="1" applyBorder="1" applyAlignment="1">
      <alignment horizontal="center"/>
    </xf>
    <xf numFmtId="1" fontId="5" fillId="8" borderId="17" xfId="0" applyNumberFormat="1" applyFont="1" applyFill="1" applyBorder="1" applyAlignment="1">
      <alignment horizontal="center"/>
    </xf>
    <xf numFmtId="1" fontId="5" fillId="8" borderId="18" xfId="0" applyNumberFormat="1" applyFont="1" applyFill="1" applyBorder="1" applyAlignment="1">
      <alignment horizontal="center"/>
    </xf>
    <xf numFmtId="0" fontId="5" fillId="4" borderId="2" xfId="0" applyFont="1" applyFill="1" applyBorder="1" applyAlignment="1">
      <alignment horizontal="center"/>
    </xf>
    <xf numFmtId="1" fontId="6" fillId="4" borderId="3" xfId="0" applyNumberFormat="1" applyFont="1" applyFill="1" applyBorder="1" applyAlignment="1">
      <alignment horizontal="center"/>
    </xf>
    <xf numFmtId="1" fontId="6" fillId="4" borderId="4" xfId="0" applyNumberFormat="1" applyFont="1" applyFill="1" applyBorder="1" applyAlignment="1">
      <alignment horizontal="center"/>
    </xf>
    <xf numFmtId="1" fontId="6" fillId="4" borderId="5" xfId="0" applyNumberFormat="1" applyFont="1" applyFill="1" applyBorder="1" applyAlignment="1">
      <alignment horizontal="center"/>
    </xf>
    <xf numFmtId="0" fontId="5" fillId="5" borderId="6" xfId="0" applyFont="1" applyFill="1" applyBorder="1" applyAlignment="1">
      <alignment horizontal="center"/>
    </xf>
    <xf numFmtId="0" fontId="5" fillId="5" borderId="0" xfId="0" applyFont="1" applyFill="1" applyAlignment="1">
      <alignment horizontal="center"/>
    </xf>
    <xf numFmtId="0" fontId="5" fillId="5" borderId="7"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cellXfs>
  <cellStyles count="2">
    <cellStyle name="Normal" xfId="0" builtinId="0"/>
    <cellStyle name="Percent" xfId="1" builtinId="5"/>
  </cellStyles>
  <dxfs count="1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Wise Sales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Chocolate Cookies 150g</c:v>
                </c:pt>
                <c:pt idx="1">
                  <c:v>Classic Potato Chips</c:v>
                </c:pt>
                <c:pt idx="2">
                  <c:v>Cream Biscuits 100g</c:v>
                </c:pt>
                <c:pt idx="3">
                  <c:v>Instant Noodles 70g</c:v>
                </c:pt>
                <c:pt idx="4">
                  <c:v>Mango Drink 200ml</c:v>
                </c:pt>
                <c:pt idx="5">
                  <c:v>Orange Drink 200ml</c:v>
                </c:pt>
              </c:strCache>
            </c:strRef>
          </c:cat>
          <c:val>
            <c:numRef>
              <c:f>Pivot!$B$4:$B$10</c:f>
              <c:numCache>
                <c:formatCode>0</c:formatCode>
                <c:ptCount val="6"/>
                <c:pt idx="0">
                  <c:v>8080</c:v>
                </c:pt>
                <c:pt idx="1">
                  <c:v>4602.6000000000004</c:v>
                </c:pt>
                <c:pt idx="2">
                  <c:v>5616.8</c:v>
                </c:pt>
                <c:pt idx="3">
                  <c:v>1388.1</c:v>
                </c:pt>
                <c:pt idx="4">
                  <c:v>2026</c:v>
                </c:pt>
                <c:pt idx="5">
                  <c:v>5050</c:v>
                </c:pt>
              </c:numCache>
            </c:numRef>
          </c:val>
          <c:extLst>
            <c:ext xmlns:c16="http://schemas.microsoft.com/office/drawing/2014/chart" uri="{C3380CC4-5D6E-409C-BE32-E72D297353CC}">
              <c16:uniqueId val="{00000000-8D35-4ADF-A334-4C6105DDED1C}"/>
            </c:ext>
          </c:extLst>
        </c:ser>
        <c:dLbls>
          <c:dLblPos val="outEnd"/>
          <c:showLegendKey val="0"/>
          <c:showVal val="1"/>
          <c:showCatName val="0"/>
          <c:showSerName val="0"/>
          <c:showPercent val="0"/>
          <c:showBubbleSize val="0"/>
        </c:dLbls>
        <c:gapWidth val="219"/>
        <c:overlap val="-27"/>
        <c:axId val="2095850144"/>
        <c:axId val="1353348656"/>
      </c:barChart>
      <c:catAx>
        <c:axId val="20958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48656"/>
        <c:crosses val="autoZero"/>
        <c:auto val="1"/>
        <c:lblAlgn val="ctr"/>
        <c:lblOffset val="100"/>
        <c:noMultiLvlLbl val="0"/>
      </c:catAx>
      <c:valAx>
        <c:axId val="1353348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85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Pivot!$A$22:$A$29</c:f>
              <c:strCache>
                <c:ptCount val="7"/>
                <c:pt idx="0">
                  <c:v>Bahadurgarh</c:v>
                </c:pt>
                <c:pt idx="1">
                  <c:v>Chandigarh</c:v>
                </c:pt>
                <c:pt idx="2">
                  <c:v>Faridabad</c:v>
                </c:pt>
                <c:pt idx="3">
                  <c:v>Ghaziabad</c:v>
                </c:pt>
                <c:pt idx="4">
                  <c:v>Noida</c:v>
                </c:pt>
                <c:pt idx="5">
                  <c:v>Rohtak</c:v>
                </c:pt>
                <c:pt idx="6">
                  <c:v>Sonipat</c:v>
                </c:pt>
              </c:strCache>
            </c:strRef>
          </c:cat>
          <c:val>
            <c:numRef>
              <c:f>Pivot!$B$22:$B$29</c:f>
              <c:numCache>
                <c:formatCode>0</c:formatCode>
                <c:ptCount val="7"/>
                <c:pt idx="0">
                  <c:v>2760</c:v>
                </c:pt>
                <c:pt idx="1">
                  <c:v>7401.6</c:v>
                </c:pt>
                <c:pt idx="2">
                  <c:v>1493.8</c:v>
                </c:pt>
                <c:pt idx="3">
                  <c:v>5050</c:v>
                </c:pt>
                <c:pt idx="4">
                  <c:v>2100</c:v>
                </c:pt>
                <c:pt idx="5">
                  <c:v>6708.1</c:v>
                </c:pt>
                <c:pt idx="6">
                  <c:v>1250</c:v>
                </c:pt>
              </c:numCache>
            </c:numRef>
          </c:val>
          <c:extLst>
            <c:ext xmlns:c16="http://schemas.microsoft.com/office/drawing/2014/chart" uri="{C3380CC4-5D6E-409C-BE32-E72D297353CC}">
              <c16:uniqueId val="{00000000-9067-463C-A475-FB36C3C81F43}"/>
            </c:ext>
          </c:extLst>
        </c:ser>
        <c:dLbls>
          <c:dLblPos val="outEnd"/>
          <c:showLegendKey val="0"/>
          <c:showVal val="1"/>
          <c:showCatName val="0"/>
          <c:showSerName val="0"/>
          <c:showPercent val="0"/>
          <c:showBubbleSize val="0"/>
        </c:dLbls>
        <c:gapWidth val="219"/>
        <c:overlap val="-27"/>
        <c:axId val="2095734144"/>
        <c:axId val="1353333296"/>
      </c:barChart>
      <c:catAx>
        <c:axId val="20957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33296"/>
        <c:crosses val="autoZero"/>
        <c:auto val="1"/>
        <c:lblAlgn val="ctr"/>
        <c:lblOffset val="100"/>
        <c:noMultiLvlLbl val="0"/>
      </c:catAx>
      <c:valAx>
        <c:axId val="1353333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34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041508905919945"/>
              <c:y val="-2.31060582629265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7993009141807124E-2"/>
              <c:y val="0.166363619493071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11977497832491814"/>
              <c:y val="6.93181747887795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269880595685863"/>
              <c:y val="-1.3863634957755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205869522257716"/>
              <c:y val="-8.31818097465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68C-4801-B77F-F8E7E39D18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68C-4801-B77F-F8E7E39D18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68C-4801-B77F-F8E7E39D18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168C-4801-B77F-F8E7E39D1803}"/>
              </c:ext>
            </c:extLst>
          </c:dPt>
          <c:dLbls>
            <c:dLbl>
              <c:idx val="0"/>
              <c:layout>
                <c:manualLayout>
                  <c:x val="0.14205869522257716"/>
                  <c:y val="-8.31818097465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168C-4801-B77F-F8E7E39D1803}"/>
                </c:ext>
              </c:extLst>
            </c:dLbl>
            <c:dLbl>
              <c:idx val="1"/>
              <c:layout>
                <c:manualLayout>
                  <c:x val="0.15041508905919945"/>
                  <c:y val="-2.31060582629265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168C-4801-B77F-F8E7E39D1803}"/>
                </c:ext>
              </c:extLst>
            </c:dLbl>
            <c:dLbl>
              <c:idx val="2"/>
              <c:layout>
                <c:manualLayout>
                  <c:x val="7.7993009141807124E-2"/>
                  <c:y val="0.166363619493071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68C-4801-B77F-F8E7E39D1803}"/>
                </c:ext>
              </c:extLst>
            </c:dLbl>
            <c:dLbl>
              <c:idx val="3"/>
              <c:layout>
                <c:manualLayout>
                  <c:x val="-0.17269880595685863"/>
                  <c:y val="-1.3863634957755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168C-4801-B77F-F8E7E39D180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Pivot!$A$43:$A$47</c:f>
              <c:strCache>
                <c:ptCount val="4"/>
                <c:pt idx="0">
                  <c:v>Bakery</c:v>
                </c:pt>
                <c:pt idx="1">
                  <c:v>Beverages</c:v>
                </c:pt>
                <c:pt idx="2">
                  <c:v>Ready-to-Eat</c:v>
                </c:pt>
                <c:pt idx="3">
                  <c:v>Snacks</c:v>
                </c:pt>
              </c:strCache>
            </c:strRef>
          </c:cat>
          <c:val>
            <c:numRef>
              <c:f>Pivot!$B$43:$B$47</c:f>
              <c:numCache>
                <c:formatCode>0</c:formatCode>
                <c:ptCount val="4"/>
                <c:pt idx="0">
                  <c:v>13696.8</c:v>
                </c:pt>
                <c:pt idx="1">
                  <c:v>7076</c:v>
                </c:pt>
                <c:pt idx="2">
                  <c:v>1388.1</c:v>
                </c:pt>
                <c:pt idx="3">
                  <c:v>4602.6000000000004</c:v>
                </c:pt>
              </c:numCache>
            </c:numRef>
          </c:val>
          <c:extLst>
            <c:ext xmlns:c16="http://schemas.microsoft.com/office/drawing/2014/chart" uri="{C3380CC4-5D6E-409C-BE32-E72D297353CC}">
              <c16:uniqueId val="{00000000-168C-4801-B77F-F8E7E39D180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Pivot!$A$58:$A$65</c:f>
              <c:strCache>
                <c:ptCount val="7"/>
                <c:pt idx="0">
                  <c:v>Fresh Mart</c:v>
                </c:pt>
                <c:pt idx="1">
                  <c:v>Green Basket</c:v>
                </c:pt>
                <c:pt idx="2">
                  <c:v>Jai Maa Enterprises</c:v>
                </c:pt>
                <c:pt idx="3">
                  <c:v>Kumar Traders</c:v>
                </c:pt>
                <c:pt idx="4">
                  <c:v>Metro Foods Retail</c:v>
                </c:pt>
                <c:pt idx="5">
                  <c:v>National Distributors</c:v>
                </c:pt>
                <c:pt idx="6">
                  <c:v>New India Mart</c:v>
                </c:pt>
              </c:strCache>
            </c:strRef>
          </c:cat>
          <c:val>
            <c:numRef>
              <c:f>Pivot!$B$58:$B$65</c:f>
              <c:numCache>
                <c:formatCode>0</c:formatCode>
                <c:ptCount val="7"/>
                <c:pt idx="0">
                  <c:v>1250</c:v>
                </c:pt>
                <c:pt idx="1">
                  <c:v>1493.8</c:v>
                </c:pt>
                <c:pt idx="2">
                  <c:v>2760</c:v>
                </c:pt>
                <c:pt idx="3">
                  <c:v>6708.1</c:v>
                </c:pt>
                <c:pt idx="4">
                  <c:v>2100</c:v>
                </c:pt>
                <c:pt idx="5">
                  <c:v>7401.6</c:v>
                </c:pt>
                <c:pt idx="6">
                  <c:v>5050</c:v>
                </c:pt>
              </c:numCache>
            </c:numRef>
          </c:val>
          <c:smooth val="0"/>
          <c:extLst>
            <c:ext xmlns:c16="http://schemas.microsoft.com/office/drawing/2014/chart" uri="{C3380CC4-5D6E-409C-BE32-E72D297353CC}">
              <c16:uniqueId val="{00000000-CED0-440F-98AD-67A5F001AF6F}"/>
            </c:ext>
          </c:extLst>
        </c:ser>
        <c:dLbls>
          <c:dLblPos val="t"/>
          <c:showLegendKey val="0"/>
          <c:showVal val="1"/>
          <c:showCatName val="0"/>
          <c:showSerName val="0"/>
          <c:showPercent val="0"/>
          <c:showBubbleSize val="0"/>
        </c:dLbls>
        <c:smooth val="0"/>
        <c:axId val="2095749456"/>
        <c:axId val="1353364496"/>
      </c:lineChart>
      <c:catAx>
        <c:axId val="20957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3364496"/>
        <c:crosses val="autoZero"/>
        <c:auto val="1"/>
        <c:lblAlgn val="ctr"/>
        <c:lblOffset val="100"/>
        <c:noMultiLvlLbl val="0"/>
      </c:catAx>
      <c:valAx>
        <c:axId val="1353364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4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80-4804-83DA-23CEC21BB4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80-4804-83DA-23CEC21BB4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80-4804-83DA-23CEC21BB4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80-4804-83DA-23CEC21BB4D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Pivot!$A$82:$A$86</c:f>
              <c:strCache>
                <c:ptCount val="4"/>
                <c:pt idx="0">
                  <c:v>Bank Transfer</c:v>
                </c:pt>
                <c:pt idx="1">
                  <c:v>Cash</c:v>
                </c:pt>
                <c:pt idx="2">
                  <c:v>Credit</c:v>
                </c:pt>
                <c:pt idx="3">
                  <c:v>UPI</c:v>
                </c:pt>
              </c:strCache>
            </c:strRef>
          </c:cat>
          <c:val>
            <c:numRef>
              <c:f>Pivot!$B$82:$B$86</c:f>
              <c:numCache>
                <c:formatCode>0</c:formatCode>
                <c:ptCount val="4"/>
                <c:pt idx="0">
                  <c:v>3477.45</c:v>
                </c:pt>
                <c:pt idx="1">
                  <c:v>7489.25</c:v>
                </c:pt>
                <c:pt idx="2">
                  <c:v>5616.8</c:v>
                </c:pt>
                <c:pt idx="3">
                  <c:v>10180</c:v>
                </c:pt>
              </c:numCache>
            </c:numRef>
          </c:val>
          <c:extLst>
            <c:ext xmlns:c16="http://schemas.microsoft.com/office/drawing/2014/chart" uri="{C3380CC4-5D6E-409C-BE32-E72D297353CC}">
              <c16:uniqueId val="{00000000-F177-4165-80C8-3499CBE690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Data.xlsx]Pivot!PivotTable13</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14-42F4-9458-7ED31B7D35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14-42F4-9458-7ED31B7D35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Pivot!$A$96:$A$98</c:f>
              <c:strCache>
                <c:ptCount val="2"/>
                <c:pt idx="0">
                  <c:v>West</c:v>
                </c:pt>
                <c:pt idx="1">
                  <c:v>North</c:v>
                </c:pt>
              </c:strCache>
            </c:strRef>
          </c:cat>
          <c:val>
            <c:numRef>
              <c:f>Pivot!$B$96:$B$98</c:f>
              <c:numCache>
                <c:formatCode>0</c:formatCode>
                <c:ptCount val="2"/>
                <c:pt idx="0">
                  <c:v>12650.45</c:v>
                </c:pt>
                <c:pt idx="1">
                  <c:v>14113.05</c:v>
                </c:pt>
              </c:numCache>
            </c:numRef>
          </c:val>
          <c:extLst>
            <c:ext xmlns:c16="http://schemas.microsoft.com/office/drawing/2014/chart" uri="{C3380CC4-5D6E-409C-BE32-E72D297353CC}">
              <c16:uniqueId val="{00000000-C3ED-431C-A182-F2F7AD802B4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Wise Sales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Chocolate Cookies 150g</c:v>
                </c:pt>
                <c:pt idx="1">
                  <c:v>Classic Potato Chips</c:v>
                </c:pt>
                <c:pt idx="2">
                  <c:v>Cream Biscuits 100g</c:v>
                </c:pt>
                <c:pt idx="3">
                  <c:v>Instant Noodles 70g</c:v>
                </c:pt>
                <c:pt idx="4">
                  <c:v>Mango Drink 200ml</c:v>
                </c:pt>
                <c:pt idx="5">
                  <c:v>Orange Drink 200ml</c:v>
                </c:pt>
              </c:strCache>
            </c:strRef>
          </c:cat>
          <c:val>
            <c:numRef>
              <c:f>Pivot!$B$4:$B$10</c:f>
              <c:numCache>
                <c:formatCode>0</c:formatCode>
                <c:ptCount val="6"/>
                <c:pt idx="0">
                  <c:v>8080</c:v>
                </c:pt>
                <c:pt idx="1">
                  <c:v>4602.6000000000004</c:v>
                </c:pt>
                <c:pt idx="2">
                  <c:v>5616.8</c:v>
                </c:pt>
                <c:pt idx="3">
                  <c:v>1388.1</c:v>
                </c:pt>
                <c:pt idx="4">
                  <c:v>2026</c:v>
                </c:pt>
                <c:pt idx="5">
                  <c:v>5050</c:v>
                </c:pt>
              </c:numCache>
            </c:numRef>
          </c:val>
          <c:extLst>
            <c:ext xmlns:c16="http://schemas.microsoft.com/office/drawing/2014/chart" uri="{C3380CC4-5D6E-409C-BE32-E72D297353CC}">
              <c16:uniqueId val="{00000000-2448-422F-84F7-94D837AC1138}"/>
            </c:ext>
          </c:extLst>
        </c:ser>
        <c:dLbls>
          <c:dLblPos val="outEnd"/>
          <c:showLegendKey val="0"/>
          <c:showVal val="1"/>
          <c:showCatName val="0"/>
          <c:showSerName val="0"/>
          <c:showPercent val="0"/>
          <c:showBubbleSize val="0"/>
        </c:dLbls>
        <c:gapWidth val="219"/>
        <c:overlap val="-27"/>
        <c:axId val="2095850144"/>
        <c:axId val="1353348656"/>
      </c:barChart>
      <c:catAx>
        <c:axId val="20958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48656"/>
        <c:crosses val="autoZero"/>
        <c:auto val="1"/>
        <c:lblAlgn val="ctr"/>
        <c:lblOffset val="100"/>
        <c:noMultiLvlLbl val="0"/>
      </c:catAx>
      <c:valAx>
        <c:axId val="1353348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85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Pivot!$A$22:$A$29</c:f>
              <c:strCache>
                <c:ptCount val="7"/>
                <c:pt idx="0">
                  <c:v>Bahadurgarh</c:v>
                </c:pt>
                <c:pt idx="1">
                  <c:v>Chandigarh</c:v>
                </c:pt>
                <c:pt idx="2">
                  <c:v>Faridabad</c:v>
                </c:pt>
                <c:pt idx="3">
                  <c:v>Ghaziabad</c:v>
                </c:pt>
                <c:pt idx="4">
                  <c:v>Noida</c:v>
                </c:pt>
                <c:pt idx="5">
                  <c:v>Rohtak</c:v>
                </c:pt>
                <c:pt idx="6">
                  <c:v>Sonipat</c:v>
                </c:pt>
              </c:strCache>
            </c:strRef>
          </c:cat>
          <c:val>
            <c:numRef>
              <c:f>Pivot!$B$22:$B$29</c:f>
              <c:numCache>
                <c:formatCode>0</c:formatCode>
                <c:ptCount val="7"/>
                <c:pt idx="0">
                  <c:v>2760</c:v>
                </c:pt>
                <c:pt idx="1">
                  <c:v>7401.6</c:v>
                </c:pt>
                <c:pt idx="2">
                  <c:v>1493.8</c:v>
                </c:pt>
                <c:pt idx="3">
                  <c:v>5050</c:v>
                </c:pt>
                <c:pt idx="4">
                  <c:v>2100</c:v>
                </c:pt>
                <c:pt idx="5">
                  <c:v>6708.1</c:v>
                </c:pt>
                <c:pt idx="6">
                  <c:v>1250</c:v>
                </c:pt>
              </c:numCache>
            </c:numRef>
          </c:val>
          <c:extLst>
            <c:ext xmlns:c16="http://schemas.microsoft.com/office/drawing/2014/chart" uri="{C3380CC4-5D6E-409C-BE32-E72D297353CC}">
              <c16:uniqueId val="{00000000-FEAA-4ADF-9CC9-2E8E2351DCC5}"/>
            </c:ext>
          </c:extLst>
        </c:ser>
        <c:dLbls>
          <c:dLblPos val="outEnd"/>
          <c:showLegendKey val="0"/>
          <c:showVal val="1"/>
          <c:showCatName val="0"/>
          <c:showSerName val="0"/>
          <c:showPercent val="0"/>
          <c:showBubbleSize val="0"/>
        </c:dLbls>
        <c:gapWidth val="219"/>
        <c:overlap val="-27"/>
        <c:axId val="2095734144"/>
        <c:axId val="1353333296"/>
      </c:barChart>
      <c:catAx>
        <c:axId val="20957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33296"/>
        <c:crosses val="autoZero"/>
        <c:auto val="1"/>
        <c:lblAlgn val="ctr"/>
        <c:lblOffset val="100"/>
        <c:noMultiLvlLbl val="0"/>
      </c:catAx>
      <c:valAx>
        <c:axId val="1353333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34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5041508905919945"/>
              <c:y val="-2.31060582629265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7.7993009141807124E-2"/>
              <c:y val="0.166363619493071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1977497832491814"/>
              <c:y val="6.93181747887795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dLbl>
          <c:idx val="0"/>
          <c:layout>
            <c:manualLayout>
              <c:x val="-0.17269880595685863"/>
              <c:y val="-1.3863634957755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205869522257716"/>
              <c:y val="-8.31818097465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205869522257716"/>
              <c:y val="-8.31818097465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041508905919945"/>
              <c:y val="-2.31060582629265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7993009141807124E-2"/>
              <c:y val="0.166363619493071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977497832491814"/>
              <c:y val="6.93181747887795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7269880595685863"/>
              <c:y val="-1.3863634957755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205869522257716"/>
              <c:y val="-8.31818097465356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5041508905919945"/>
              <c:y val="-2.31060582629265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7.7993009141807124E-2"/>
              <c:y val="0.166363619493071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1977497832491814"/>
              <c:y val="6.93181747887795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7269880595685863"/>
              <c:y val="-1.38636349577559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01-4053-AC6F-DB136CA4F4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01-4053-AC6F-DB136CA4F4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01-4053-AC6F-DB136CA4F4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01-4053-AC6F-DB136CA4F4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01-4053-AC6F-DB136CA4F454}"/>
              </c:ext>
            </c:extLst>
          </c:dPt>
          <c:dLbls>
            <c:dLbl>
              <c:idx val="0"/>
              <c:layout>
                <c:manualLayout>
                  <c:x val="0.14205869522257716"/>
                  <c:y val="-8.318180974653563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001-4053-AC6F-DB136CA4F454}"/>
                </c:ext>
              </c:extLst>
            </c:dLbl>
            <c:dLbl>
              <c:idx val="1"/>
              <c:layout>
                <c:manualLayout>
                  <c:x val="0.15041508905919945"/>
                  <c:y val="-2.310605826292656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01-4053-AC6F-DB136CA4F454}"/>
                </c:ext>
              </c:extLst>
            </c:dLbl>
            <c:dLbl>
              <c:idx val="2"/>
              <c:layout>
                <c:manualLayout>
                  <c:x val="7.7993009141807124E-2"/>
                  <c:y val="0.1663636194930712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001-4053-AC6F-DB136CA4F454}"/>
                </c:ext>
              </c:extLst>
            </c:dLbl>
            <c:dLbl>
              <c:idx val="3"/>
              <c:layout>
                <c:manualLayout>
                  <c:x val="-0.17269880595685863"/>
                  <c:y val="-1.386363495775598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001-4053-AC6F-DB136CA4F45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Pivot!$A$43:$A$47</c:f>
              <c:strCache>
                <c:ptCount val="4"/>
                <c:pt idx="0">
                  <c:v>Bakery</c:v>
                </c:pt>
                <c:pt idx="1">
                  <c:v>Beverages</c:v>
                </c:pt>
                <c:pt idx="2">
                  <c:v>Ready-to-Eat</c:v>
                </c:pt>
                <c:pt idx="3">
                  <c:v>Snacks</c:v>
                </c:pt>
              </c:strCache>
            </c:strRef>
          </c:cat>
          <c:val>
            <c:numRef>
              <c:f>Pivot!$B$43:$B$47</c:f>
              <c:numCache>
                <c:formatCode>0</c:formatCode>
                <c:ptCount val="4"/>
                <c:pt idx="0">
                  <c:v>13696.8</c:v>
                </c:pt>
                <c:pt idx="1">
                  <c:v>7076</c:v>
                </c:pt>
                <c:pt idx="2">
                  <c:v>1388.1</c:v>
                </c:pt>
                <c:pt idx="3">
                  <c:v>4602.6000000000004</c:v>
                </c:pt>
              </c:numCache>
            </c:numRef>
          </c:val>
          <c:extLst>
            <c:ext xmlns:c16="http://schemas.microsoft.com/office/drawing/2014/chart" uri="{C3380CC4-5D6E-409C-BE32-E72D297353CC}">
              <c16:uniqueId val="{0000000A-0001-4053-AC6F-DB136CA4F45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Data.xlsx]Pivot!PivotTable13</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1F4-476C-8254-A4032C0897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1F4-476C-8254-A4032C0897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1F4-476C-8254-A4032C0897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Pivot!$A$96:$A$98</c:f>
              <c:strCache>
                <c:ptCount val="2"/>
                <c:pt idx="0">
                  <c:v>West</c:v>
                </c:pt>
                <c:pt idx="1">
                  <c:v>North</c:v>
                </c:pt>
              </c:strCache>
            </c:strRef>
          </c:cat>
          <c:val>
            <c:numRef>
              <c:f>Pivot!$B$96:$B$98</c:f>
              <c:numCache>
                <c:formatCode>0</c:formatCode>
                <c:ptCount val="2"/>
                <c:pt idx="0">
                  <c:v>12650.45</c:v>
                </c:pt>
                <c:pt idx="1">
                  <c:v>14113.05</c:v>
                </c:pt>
              </c:numCache>
            </c:numRef>
          </c:val>
          <c:extLst>
            <c:ext xmlns:c16="http://schemas.microsoft.com/office/drawing/2014/chart" uri="{C3380CC4-5D6E-409C-BE32-E72D297353CC}">
              <c16:uniqueId val="{00000006-81F4-476C-8254-A4032C08973D}"/>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E8-4BB5-97CF-62554C862E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8-4BB5-97CF-62554C862E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E8-4BB5-97CF-62554C862E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E8-4BB5-97CF-62554C862E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Pivot!$A$82:$A$86</c:f>
              <c:strCache>
                <c:ptCount val="4"/>
                <c:pt idx="0">
                  <c:v>Bank Transfer</c:v>
                </c:pt>
                <c:pt idx="1">
                  <c:v>Cash</c:v>
                </c:pt>
                <c:pt idx="2">
                  <c:v>Credit</c:v>
                </c:pt>
                <c:pt idx="3">
                  <c:v>UPI</c:v>
                </c:pt>
              </c:strCache>
            </c:strRef>
          </c:cat>
          <c:val>
            <c:numRef>
              <c:f>Pivot!$B$82:$B$86</c:f>
              <c:numCache>
                <c:formatCode>0</c:formatCode>
                <c:ptCount val="4"/>
                <c:pt idx="0">
                  <c:v>3477.45</c:v>
                </c:pt>
                <c:pt idx="1">
                  <c:v>7489.25</c:v>
                </c:pt>
                <c:pt idx="2">
                  <c:v>5616.8</c:v>
                </c:pt>
                <c:pt idx="3">
                  <c:v>10180</c:v>
                </c:pt>
              </c:numCache>
            </c:numRef>
          </c:val>
          <c:extLst>
            <c:ext xmlns:c16="http://schemas.microsoft.com/office/drawing/2014/chart" uri="{C3380CC4-5D6E-409C-BE32-E72D297353CC}">
              <c16:uniqueId val="{00000008-C0E8-4BB5-97CF-62554C862E3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Pivot!$A$58:$A$65</c:f>
              <c:strCache>
                <c:ptCount val="7"/>
                <c:pt idx="0">
                  <c:v>Fresh Mart</c:v>
                </c:pt>
                <c:pt idx="1">
                  <c:v>Green Basket</c:v>
                </c:pt>
                <c:pt idx="2">
                  <c:v>Jai Maa Enterprises</c:v>
                </c:pt>
                <c:pt idx="3">
                  <c:v>Kumar Traders</c:v>
                </c:pt>
                <c:pt idx="4">
                  <c:v>Metro Foods Retail</c:v>
                </c:pt>
                <c:pt idx="5">
                  <c:v>National Distributors</c:v>
                </c:pt>
                <c:pt idx="6">
                  <c:v>New India Mart</c:v>
                </c:pt>
              </c:strCache>
            </c:strRef>
          </c:cat>
          <c:val>
            <c:numRef>
              <c:f>Pivot!$B$58:$B$65</c:f>
              <c:numCache>
                <c:formatCode>0</c:formatCode>
                <c:ptCount val="7"/>
                <c:pt idx="0">
                  <c:v>1250</c:v>
                </c:pt>
                <c:pt idx="1">
                  <c:v>1493.8</c:v>
                </c:pt>
                <c:pt idx="2">
                  <c:v>2760</c:v>
                </c:pt>
                <c:pt idx="3">
                  <c:v>6708.1</c:v>
                </c:pt>
                <c:pt idx="4">
                  <c:v>2100</c:v>
                </c:pt>
                <c:pt idx="5">
                  <c:v>7401.6</c:v>
                </c:pt>
                <c:pt idx="6">
                  <c:v>5050</c:v>
                </c:pt>
              </c:numCache>
            </c:numRef>
          </c:val>
          <c:smooth val="0"/>
          <c:extLst>
            <c:ext xmlns:c16="http://schemas.microsoft.com/office/drawing/2014/chart" uri="{C3380CC4-5D6E-409C-BE32-E72D297353CC}">
              <c16:uniqueId val="{00000000-B578-4635-A49A-EBAE6904825B}"/>
            </c:ext>
          </c:extLst>
        </c:ser>
        <c:dLbls>
          <c:dLblPos val="t"/>
          <c:showLegendKey val="0"/>
          <c:showVal val="1"/>
          <c:showCatName val="0"/>
          <c:showSerName val="0"/>
          <c:showPercent val="0"/>
          <c:showBubbleSize val="0"/>
        </c:dLbls>
        <c:smooth val="0"/>
        <c:axId val="2095749456"/>
        <c:axId val="1353364496"/>
      </c:lineChart>
      <c:catAx>
        <c:axId val="20957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3364496"/>
        <c:crosses val="autoZero"/>
        <c:auto val="1"/>
        <c:lblAlgn val="ctr"/>
        <c:lblOffset val="100"/>
        <c:noMultiLvlLbl val="0"/>
      </c:catAx>
      <c:valAx>
        <c:axId val="1353364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4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30480</xdr:colOff>
      <xdr:row>1</xdr:row>
      <xdr:rowOff>175260</xdr:rowOff>
    </xdr:from>
    <xdr:to>
      <xdr:col>13</xdr:col>
      <xdr:colOff>7620</xdr:colOff>
      <xdr:row>18</xdr:row>
      <xdr:rowOff>7620</xdr:rowOff>
    </xdr:to>
    <xdr:graphicFrame macro="">
      <xdr:nvGraphicFramePr>
        <xdr:cNvPr id="2" name="Chart 1">
          <a:extLst>
            <a:ext uri="{FF2B5EF4-FFF2-40B4-BE49-F238E27FC236}">
              <a16:creationId xmlns:a16="http://schemas.microsoft.com/office/drawing/2014/main" id="{44FD6C2E-7D6D-4270-F5CA-8FD7299D9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1005840</xdr:colOff>
      <xdr:row>20</xdr:row>
      <xdr:rowOff>7620</xdr:rowOff>
    </xdr:from>
    <xdr:to>
      <xdr:col>13</xdr:col>
      <xdr:colOff>152400</xdr:colOff>
      <xdr:row>36</xdr:row>
      <xdr:rowOff>160020</xdr:rowOff>
    </xdr:to>
    <xdr:graphicFrame macro="">
      <xdr:nvGraphicFramePr>
        <xdr:cNvPr id="3" name="Chart 2">
          <a:extLst>
            <a:ext uri="{FF2B5EF4-FFF2-40B4-BE49-F238E27FC236}">
              <a16:creationId xmlns:a16="http://schemas.microsoft.com/office/drawing/2014/main" id="{5195AD30-ED91-82ED-DD3B-99D152D9F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1028208</xdr:colOff>
      <xdr:row>38</xdr:row>
      <xdr:rowOff>86278</xdr:rowOff>
    </xdr:from>
    <xdr:to>
      <xdr:col>9</xdr:col>
      <xdr:colOff>562159</xdr:colOff>
      <xdr:row>53</xdr:row>
      <xdr:rowOff>86278</xdr:rowOff>
    </xdr:to>
    <xdr:graphicFrame macro="">
      <xdr:nvGraphicFramePr>
        <xdr:cNvPr id="4" name="Chart 3">
          <a:extLst>
            <a:ext uri="{FF2B5EF4-FFF2-40B4-BE49-F238E27FC236}">
              <a16:creationId xmlns:a16="http://schemas.microsoft.com/office/drawing/2014/main" id="{04DF075B-9E54-4124-6529-6087B59C4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1015999</xdr:colOff>
      <xdr:row>56</xdr:row>
      <xdr:rowOff>12700</xdr:rowOff>
    </xdr:from>
    <xdr:to>
      <xdr:col>13</xdr:col>
      <xdr:colOff>156308</xdr:colOff>
      <xdr:row>72</xdr:row>
      <xdr:rowOff>177800</xdr:rowOff>
    </xdr:to>
    <xdr:graphicFrame macro="">
      <xdr:nvGraphicFramePr>
        <xdr:cNvPr id="5" name="Chart 4">
          <a:extLst>
            <a:ext uri="{FF2B5EF4-FFF2-40B4-BE49-F238E27FC236}">
              <a16:creationId xmlns:a16="http://schemas.microsoft.com/office/drawing/2014/main" id="{9D6D4902-01CE-CFF4-DE58-2C7C9CB31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1028241</xdr:colOff>
      <xdr:row>75</xdr:row>
      <xdr:rowOff>60593</xdr:rowOff>
    </xdr:from>
    <xdr:to>
      <xdr:col>8</xdr:col>
      <xdr:colOff>91808</xdr:colOff>
      <xdr:row>91</xdr:row>
      <xdr:rowOff>82626</xdr:rowOff>
    </xdr:to>
    <xdr:graphicFrame macro="">
      <xdr:nvGraphicFramePr>
        <xdr:cNvPr id="6" name="Chart 5">
          <a:extLst>
            <a:ext uri="{FF2B5EF4-FFF2-40B4-BE49-F238E27FC236}">
              <a16:creationId xmlns:a16="http://schemas.microsoft.com/office/drawing/2014/main" id="{5ADA99C6-3FB1-61F8-D428-D0A986EBA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1176595</xdr:colOff>
      <xdr:row>93</xdr:row>
      <xdr:rowOff>131380</xdr:rowOff>
    </xdr:from>
    <xdr:to>
      <xdr:col>9</xdr:col>
      <xdr:colOff>453259</xdr:colOff>
      <xdr:row>107</xdr:row>
      <xdr:rowOff>36036</xdr:rowOff>
    </xdr:to>
    <xdr:graphicFrame macro="">
      <xdr:nvGraphicFramePr>
        <xdr:cNvPr id="7" name="Chart 6">
          <a:extLst>
            <a:ext uri="{FF2B5EF4-FFF2-40B4-BE49-F238E27FC236}">
              <a16:creationId xmlns:a16="http://schemas.microsoft.com/office/drawing/2014/main" id="{58980479-9B98-D739-FA70-04160F3D5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486893</xdr:colOff>
      <xdr:row>109</xdr:row>
      <xdr:rowOff>31793</xdr:rowOff>
    </xdr:from>
    <xdr:to>
      <xdr:col>8</xdr:col>
      <xdr:colOff>482951</xdr:colOff>
      <xdr:row>122</xdr:row>
      <xdr:rowOff>107665</xdr:rowOff>
    </xdr:to>
    <mc:AlternateContent xmlns:mc="http://schemas.openxmlformats.org/markup-compatibility/2006" xmlns:a14="http://schemas.microsoft.com/office/drawing/2010/main">
      <mc:Choice Requires="a14">
        <xdr:graphicFrame macro="">
          <xdr:nvGraphicFramePr>
            <xdr:cNvPr id="8" name="Invoice Date">
              <a:extLst>
                <a:ext uri="{FF2B5EF4-FFF2-40B4-BE49-F238E27FC236}">
                  <a16:creationId xmlns:a16="http://schemas.microsoft.com/office/drawing/2014/main" id="{81EEA40A-ED46-B0CB-44EB-DF0F8E889FAA}"/>
                </a:ext>
              </a:extLst>
            </xdr:cNvPr>
            <xdr:cNvGraphicFramePr/>
          </xdr:nvGraphicFramePr>
          <xdr:xfrm>
            <a:off x="0" y="0"/>
            <a:ext cx="0" cy="0"/>
          </xdr:xfrm>
          <a:graphic>
            <a:graphicData uri="http://schemas.microsoft.com/office/drawing/2010/slicer">
              <sle:slicer xmlns:sle="http://schemas.microsoft.com/office/drawing/2010/slicer" name="Invoice Date"/>
            </a:graphicData>
          </a:graphic>
        </xdr:graphicFrame>
      </mc:Choice>
      <mc:Fallback xmlns="">
        <xdr:sp macro="" textlink="">
          <xdr:nvSpPr>
            <xdr:cNvPr id="0" name=""/>
            <xdr:cNvSpPr>
              <a:spLocks noTextEdit="1"/>
            </xdr:cNvSpPr>
          </xdr:nvSpPr>
          <xdr:spPr>
            <a:xfrm>
              <a:off x="6742913" y="19965713"/>
              <a:ext cx="1824858" cy="2453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5687</xdr:colOff>
      <xdr:row>3</xdr:row>
      <xdr:rowOff>56867</xdr:rowOff>
    </xdr:from>
    <xdr:to>
      <xdr:col>4</xdr:col>
      <xdr:colOff>110718</xdr:colOff>
      <xdr:row>17</xdr:row>
      <xdr:rowOff>65128</xdr:rowOff>
    </xdr:to>
    <mc:AlternateContent xmlns:mc="http://schemas.openxmlformats.org/markup-compatibility/2006" xmlns:a14="http://schemas.microsoft.com/office/drawing/2010/main">
      <mc:Choice Requires="a14">
        <xdr:graphicFrame macro="">
          <xdr:nvGraphicFramePr>
            <xdr:cNvPr id="2" name="Invoice Date 1">
              <a:extLst>
                <a:ext uri="{FF2B5EF4-FFF2-40B4-BE49-F238E27FC236}">
                  <a16:creationId xmlns:a16="http://schemas.microsoft.com/office/drawing/2014/main" id="{A493950A-04E2-4315-8B89-092EE43B1A4C}"/>
                </a:ext>
              </a:extLst>
            </xdr:cNvPr>
            <xdr:cNvGraphicFramePr/>
          </xdr:nvGraphicFramePr>
          <xdr:xfrm>
            <a:off x="0" y="0"/>
            <a:ext cx="0" cy="0"/>
          </xdr:xfrm>
          <a:graphic>
            <a:graphicData uri="http://schemas.microsoft.com/office/drawing/2010/slicer">
              <sle:slicer xmlns:sle="http://schemas.microsoft.com/office/drawing/2010/slicer" name="Invoice Date 1"/>
            </a:graphicData>
          </a:graphic>
        </xdr:graphicFrame>
      </mc:Choice>
      <mc:Fallback xmlns="">
        <xdr:sp macro="" textlink="">
          <xdr:nvSpPr>
            <xdr:cNvPr id="0" name=""/>
            <xdr:cNvSpPr>
              <a:spLocks noTextEdit="1"/>
            </xdr:cNvSpPr>
          </xdr:nvSpPr>
          <xdr:spPr>
            <a:xfrm>
              <a:off x="152225" y="613713"/>
              <a:ext cx="1922108" cy="2606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183611</xdr:colOff>
      <xdr:row>3</xdr:row>
      <xdr:rowOff>56992</xdr:rowOff>
    </xdr:from>
    <xdr:to>
      <xdr:col>15</xdr:col>
      <xdr:colOff>279399</xdr:colOff>
      <xdr:row>17</xdr:row>
      <xdr:rowOff>127000</xdr:rowOff>
    </xdr:to>
    <xdr:graphicFrame macro="">
      <xdr:nvGraphicFramePr>
        <xdr:cNvPr id="3" name="Chart 2">
          <a:extLst>
            <a:ext uri="{FF2B5EF4-FFF2-40B4-BE49-F238E27FC236}">
              <a16:creationId xmlns:a16="http://schemas.microsoft.com/office/drawing/2014/main" id="{4C53FAB6-17AC-40FE-8C6F-0E9DC0EE5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474134</xdr:colOff>
      <xdr:row>17</xdr:row>
      <xdr:rowOff>177801</xdr:rowOff>
    </xdr:from>
    <xdr:to>
      <xdr:col>26</xdr:col>
      <xdr:colOff>0</xdr:colOff>
      <xdr:row>34</xdr:row>
      <xdr:rowOff>179605</xdr:rowOff>
    </xdr:to>
    <xdr:graphicFrame macro="">
      <xdr:nvGraphicFramePr>
        <xdr:cNvPr id="4" name="Chart 3">
          <a:extLst>
            <a:ext uri="{FF2B5EF4-FFF2-40B4-BE49-F238E27FC236}">
              <a16:creationId xmlns:a16="http://schemas.microsoft.com/office/drawing/2014/main" id="{6747BD7C-4253-4943-8E3C-72F5AD0FF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360748</xdr:colOff>
      <xdr:row>3</xdr:row>
      <xdr:rowOff>44225</xdr:rowOff>
    </xdr:from>
    <xdr:to>
      <xdr:col>25</xdr:col>
      <xdr:colOff>600701</xdr:colOff>
      <xdr:row>17</xdr:row>
      <xdr:rowOff>109682</xdr:rowOff>
    </xdr:to>
    <xdr:graphicFrame macro="">
      <xdr:nvGraphicFramePr>
        <xdr:cNvPr id="5" name="Chart 4">
          <a:extLst>
            <a:ext uri="{FF2B5EF4-FFF2-40B4-BE49-F238E27FC236}">
              <a16:creationId xmlns:a16="http://schemas.microsoft.com/office/drawing/2014/main" id="{02E62246-B214-43CD-8747-2EC8C544F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18</xdr:row>
      <xdr:rowOff>1859</xdr:rowOff>
    </xdr:from>
    <xdr:to>
      <xdr:col>7</xdr:col>
      <xdr:colOff>390769</xdr:colOff>
      <xdr:row>35</xdr:row>
      <xdr:rowOff>13025</xdr:rowOff>
    </xdr:to>
    <xdr:graphicFrame macro="">
      <xdr:nvGraphicFramePr>
        <xdr:cNvPr id="6" name="Chart 5">
          <a:extLst>
            <a:ext uri="{FF2B5EF4-FFF2-40B4-BE49-F238E27FC236}">
              <a16:creationId xmlns:a16="http://schemas.microsoft.com/office/drawing/2014/main" id="{4041E3B0-68AC-443F-82AE-75F8F57F4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35</xdr:row>
      <xdr:rowOff>38768</xdr:rowOff>
    </xdr:from>
    <xdr:to>
      <xdr:col>26</xdr:col>
      <xdr:colOff>1833</xdr:colOff>
      <xdr:row>49</xdr:row>
      <xdr:rowOff>177031</xdr:rowOff>
    </xdr:to>
    <xdr:graphicFrame macro="">
      <xdr:nvGraphicFramePr>
        <xdr:cNvPr id="7" name="Chart 6">
          <a:extLst>
            <a:ext uri="{FF2B5EF4-FFF2-40B4-BE49-F238E27FC236}">
              <a16:creationId xmlns:a16="http://schemas.microsoft.com/office/drawing/2014/main" id="{C51D9CA1-FDDB-409D-B5D9-A714A24FD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144779</xdr:colOff>
      <xdr:row>35</xdr:row>
      <xdr:rowOff>49530</xdr:rowOff>
    </xdr:from>
    <xdr:to>
      <xdr:col>15</xdr:col>
      <xdr:colOff>116940</xdr:colOff>
      <xdr:row>50</xdr:row>
      <xdr:rowOff>6245</xdr:rowOff>
    </xdr:to>
    <xdr:graphicFrame macro="">
      <xdr:nvGraphicFramePr>
        <xdr:cNvPr id="8" name="Chart 7">
          <a:extLst>
            <a:ext uri="{FF2B5EF4-FFF2-40B4-BE49-F238E27FC236}">
              <a16:creationId xmlns:a16="http://schemas.microsoft.com/office/drawing/2014/main" id="{07B0659A-63C4-4FB8-A39C-7D60079F4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298.510353935184" createdVersion="8" refreshedVersion="8" minRefreshableVersion="3" recordCount="450" xr:uid="{FFA07AC3-8A4D-47F4-A29E-6C82E3073209}">
  <cacheSource type="worksheet">
    <worksheetSource ref="A1:S451" sheet="Sales Data"/>
  </cacheSource>
  <cacheFields count="19">
    <cacheField name="Invoice No" numFmtId="0">
      <sharedItems/>
    </cacheField>
    <cacheField name="Invoice Date" numFmtId="164">
      <sharedItems containsSemiMixedTypes="0" containsNonDate="0" containsDate="1" containsString="0" minDate="2026-09-01T00:00:00" maxDate="2026-10-01T00:00:00" count="30">
        <d v="2026-09-11T00:00:00"/>
        <d v="2026-09-26T00:00:00"/>
        <d v="2026-09-09T00:00:00"/>
        <d v="2026-09-22T00:00:00"/>
        <d v="2026-09-27T00:00:00"/>
        <d v="2026-09-12T00:00:00"/>
        <d v="2026-09-18T00:00:00"/>
        <d v="2026-09-02T00:00:00"/>
        <d v="2026-09-10T00:00:00"/>
        <d v="2026-09-08T00:00:00"/>
        <d v="2026-09-20T00:00:00"/>
        <d v="2026-09-28T00:00:00"/>
        <d v="2026-09-17T00:00:00"/>
        <d v="2026-09-06T00:00:00"/>
        <d v="2026-09-30T00:00:00"/>
        <d v="2026-09-29T00:00:00"/>
        <d v="2026-09-13T00:00:00"/>
        <d v="2026-09-03T00:00:00"/>
        <d v="2026-09-05T00:00:00"/>
        <d v="2026-09-01T00:00:00"/>
        <d v="2026-09-04T00:00:00"/>
        <d v="2026-09-16T00:00:00"/>
        <d v="2026-09-19T00:00:00"/>
        <d v="2026-09-07T00:00:00"/>
        <d v="2026-09-14T00:00:00"/>
        <d v="2026-09-25T00:00:00"/>
        <d v="2026-09-24T00:00:00"/>
        <d v="2026-09-15T00:00:00"/>
        <d v="2026-09-23T00:00:00"/>
        <d v="2026-09-21T00:00:00"/>
      </sharedItems>
    </cacheField>
    <cacheField name="SKU" numFmtId="0">
      <sharedItems/>
    </cacheField>
    <cacheField name="Product Name" numFmtId="0">
      <sharedItems count="10">
        <s v="Tomato Ketchup 500g"/>
        <s v="Mixed Namkeen 200g"/>
        <s v="Classic Potato Chips"/>
        <s v="Mango Drink 200ml"/>
        <s v="Chocolate Cookies 150g"/>
        <s v="Orange Drink 200ml"/>
        <s v="Masala Potato Chips"/>
        <s v="Roasted Peanuts 100g"/>
        <s v="Cream Biscuits 100g"/>
        <s v="Instant Noodles 70g"/>
      </sharedItems>
    </cacheField>
    <cacheField name="Category" numFmtId="0">
      <sharedItems count="5">
        <s v="Sauces"/>
        <s v="Snacks"/>
        <s v="Beverages"/>
        <s v="Bakery"/>
        <s v="Ready-to-Eat"/>
      </sharedItems>
    </cacheField>
    <cacheField name="Customer ID" numFmtId="0">
      <sharedItems/>
    </cacheField>
    <cacheField name="Customer Name" numFmtId="0">
      <sharedItems count="15">
        <s v="Shree Balaji Store"/>
        <s v="Kumar Traders"/>
        <s v="Daily Needs Store"/>
        <s v="Jai Maa Enterprises"/>
        <s v="Metro Foods Retail"/>
        <s v="National Distributors"/>
        <s v="New India Mart"/>
        <s v="Fresh Mart"/>
        <s v="Sharma General Store"/>
        <s v="Happy Family Store"/>
        <s v="Om Wholesale"/>
        <s v="Ravi Provision Store"/>
        <s v="City Supermarket"/>
        <s v="Green Basket"/>
        <s v="A-One Distributors"/>
      </sharedItems>
    </cacheField>
    <cacheField name="City" numFmtId="0">
      <sharedItems count="14">
        <s v="Meerut"/>
        <s v="Rohtak"/>
        <s v="Gurugram"/>
        <s v="Bahadurgarh"/>
        <s v="Noida"/>
        <s v="Chandigarh"/>
        <s v="Ghaziabad"/>
        <s v="Sonipat"/>
        <s v="Delhi"/>
        <s v="Ambala"/>
        <s v="Hisar"/>
        <s v="Panipat"/>
        <s v="Faridabad"/>
        <s v="Karnal"/>
      </sharedItems>
    </cacheField>
    <cacheField name="Quantity" numFmtId="0">
      <sharedItems containsSemiMixedTypes="0" containsString="0" containsNumber="1" containsInteger="1" minValue="15" maxValue="220"/>
    </cacheField>
    <cacheField name="UOM" numFmtId="0">
      <sharedItems/>
    </cacheField>
    <cacheField name="Unit Selling Price (INR)" numFmtId="0">
      <sharedItems containsSemiMixedTypes="0" containsString="0" containsNumber="1" containsInteger="1" minValue="15" maxValue="85"/>
    </cacheField>
    <cacheField name="Discount %" numFmtId="0">
      <sharedItems containsSemiMixedTypes="0" containsString="0" containsNumber="1" minValue="0" maxValue="0.05"/>
    </cacheField>
    <cacheField name="Gross Sales (INR)" numFmtId="0">
      <sharedItems containsSemiMixedTypes="0" containsString="0" containsNumber="1" containsInteger="1" minValue="255" maxValue="18445"/>
    </cacheField>
    <cacheField name="Net Sales (INR)" numFmtId="0">
      <sharedItems containsSemiMixedTypes="0" containsString="0" containsNumber="1" minValue="247.35" maxValue="17726.75"/>
    </cacheField>
    <cacheField name="COGS (INR)" numFmtId="0">
      <sharedItems containsSemiMixedTypes="0" containsString="0" containsNumber="1" minValue="144.5" maxValue="11067"/>
    </cacheField>
    <cacheField name="Gross Profit (INR)" numFmtId="0">
      <sharedItems containsSemiMixedTypes="0" containsString="0" containsNumber="1" minValue="102.85" maxValue="7038"/>
    </cacheField>
    <cacheField name="Payment Mode" numFmtId="0">
      <sharedItems count="4">
        <s v="Credit"/>
        <s v="Cash"/>
        <s v="UPI"/>
        <s v="Bank Transfer"/>
      </sharedItems>
    </cacheField>
    <cacheField name="Order Status" numFmtId="0">
      <sharedItems/>
    </cacheField>
    <cacheField name="Sales Region" numFmtId="0">
      <sharedItems count="3">
        <s v="Central"/>
        <s v="North"/>
        <s v="West"/>
      </sharedItems>
    </cacheField>
  </cacheFields>
  <extLst>
    <ext xmlns:x14="http://schemas.microsoft.com/office/spreadsheetml/2009/9/main" uri="{725AE2AE-9491-48be-B2B4-4EB974FC3084}">
      <x14:pivotCacheDefinition pivotCacheId="1537342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s v="INV-26-09-0001"/>
    <x v="0"/>
    <s v="FB003"/>
    <x v="0"/>
    <x v="0"/>
    <s v="C013"/>
    <x v="0"/>
    <x v="0"/>
    <n v="145"/>
    <s v="Bottle"/>
    <n v="85"/>
    <n v="0"/>
    <n v="12325"/>
    <n v="12325"/>
    <n v="7395"/>
    <n v="4930"/>
    <x v="0"/>
    <s v="Returned"/>
    <x v="0"/>
  </r>
  <r>
    <s v="INV-26-09-0002"/>
    <x v="1"/>
    <s v="FB010"/>
    <x v="1"/>
    <x v="1"/>
    <s v="C004"/>
    <x v="1"/>
    <x v="1"/>
    <n v="160"/>
    <s v="Pack"/>
    <n v="50"/>
    <n v="0.03"/>
    <n v="8000"/>
    <n v="7760"/>
    <n v="4640"/>
    <n v="3120"/>
    <x v="0"/>
    <s v="Delivered"/>
    <x v="0"/>
  </r>
  <r>
    <s v="INV-26-09-0003"/>
    <x v="2"/>
    <s v="FB001"/>
    <x v="2"/>
    <x v="1"/>
    <s v="C005"/>
    <x v="2"/>
    <x v="2"/>
    <n v="17"/>
    <s v="Pack"/>
    <n v="20"/>
    <n v="0.02"/>
    <n v="340"/>
    <n v="333.2"/>
    <n v="195.5"/>
    <n v="137.69999999999999"/>
    <x v="1"/>
    <s v="Returned"/>
    <x v="0"/>
  </r>
  <r>
    <s v="INV-26-09-0004"/>
    <x v="3"/>
    <s v="FB004"/>
    <x v="3"/>
    <x v="2"/>
    <s v="C008"/>
    <x v="3"/>
    <x v="3"/>
    <n v="164"/>
    <s v="Tetra Pack"/>
    <n v="25"/>
    <n v="0"/>
    <n v="4100"/>
    <n v="4100"/>
    <n v="2296"/>
    <n v="1804"/>
    <x v="2"/>
    <s v="Delivered"/>
    <x v="0"/>
  </r>
  <r>
    <s v="INV-26-09-0005"/>
    <x v="2"/>
    <s v="FB010"/>
    <x v="1"/>
    <x v="1"/>
    <s v="C007"/>
    <x v="4"/>
    <x v="4"/>
    <n v="98"/>
    <s v="Pack"/>
    <n v="50"/>
    <n v="0"/>
    <n v="4900"/>
    <n v="4900"/>
    <n v="2842"/>
    <n v="2058"/>
    <x v="1"/>
    <s v="Delivered"/>
    <x v="0"/>
  </r>
  <r>
    <s v="INV-26-09-0006"/>
    <x v="4"/>
    <s v="FB007"/>
    <x v="4"/>
    <x v="3"/>
    <s v="C013"/>
    <x v="0"/>
    <x v="0"/>
    <n v="142"/>
    <s v="Pack"/>
    <n v="40"/>
    <n v="0.03"/>
    <n v="5680"/>
    <n v="5509.6"/>
    <n v="3266"/>
    <n v="2243.6"/>
    <x v="2"/>
    <s v="Delivered"/>
    <x v="1"/>
  </r>
  <r>
    <s v="INV-26-09-0007"/>
    <x v="1"/>
    <s v="FB005"/>
    <x v="5"/>
    <x v="2"/>
    <s v="C008"/>
    <x v="3"/>
    <x v="3"/>
    <n v="54"/>
    <s v="Tetra Pack"/>
    <n v="25"/>
    <n v="0.02"/>
    <n v="1350"/>
    <n v="1323"/>
    <n v="766.8"/>
    <n v="556.20000000000005"/>
    <x v="1"/>
    <s v="Pending"/>
    <x v="2"/>
  </r>
  <r>
    <s v="INV-26-09-0008"/>
    <x v="5"/>
    <s v="FB003"/>
    <x v="0"/>
    <x v="0"/>
    <s v="C014"/>
    <x v="5"/>
    <x v="5"/>
    <n v="126"/>
    <s v="Bottle"/>
    <n v="85"/>
    <n v="0.03"/>
    <n v="10710"/>
    <n v="10388.700000000001"/>
    <n v="6426"/>
    <n v="3962.7"/>
    <x v="3"/>
    <s v="Pending"/>
    <x v="0"/>
  </r>
  <r>
    <s v="INV-26-09-0009"/>
    <x v="6"/>
    <s v="FB001"/>
    <x v="2"/>
    <x v="1"/>
    <s v="C014"/>
    <x v="5"/>
    <x v="5"/>
    <n v="24"/>
    <s v="Pack"/>
    <n v="20"/>
    <n v="0.05"/>
    <n v="480"/>
    <n v="456"/>
    <n v="276"/>
    <n v="180"/>
    <x v="2"/>
    <s v="Returned"/>
    <x v="1"/>
  </r>
  <r>
    <s v="INV-26-09-0010"/>
    <x v="7"/>
    <s v="FB002"/>
    <x v="6"/>
    <x v="1"/>
    <s v="C012"/>
    <x v="6"/>
    <x v="6"/>
    <n v="105"/>
    <s v="Pack"/>
    <n v="20"/>
    <n v="0.02"/>
    <n v="2100"/>
    <n v="2058"/>
    <n v="1239"/>
    <n v="819"/>
    <x v="1"/>
    <s v="Pending"/>
    <x v="0"/>
  </r>
  <r>
    <s v="INV-26-09-0011"/>
    <x v="8"/>
    <s v="FB009"/>
    <x v="7"/>
    <x v="1"/>
    <s v="C002"/>
    <x v="7"/>
    <x v="7"/>
    <n v="89"/>
    <s v="Pack"/>
    <n v="35"/>
    <n v="0"/>
    <n v="3115"/>
    <n v="3115"/>
    <n v="1780"/>
    <n v="1335"/>
    <x v="0"/>
    <s v="Delivered"/>
    <x v="2"/>
  </r>
  <r>
    <s v="INV-26-09-0012"/>
    <x v="9"/>
    <s v="FB008"/>
    <x v="8"/>
    <x v="3"/>
    <s v="C007"/>
    <x v="4"/>
    <x v="4"/>
    <n v="191"/>
    <s v="Pack"/>
    <n v="20"/>
    <n v="0.02"/>
    <n v="3820"/>
    <n v="3743.6"/>
    <n v="2101"/>
    <n v="1642.6"/>
    <x v="0"/>
    <s v="Returned"/>
    <x v="1"/>
  </r>
  <r>
    <s v="INV-26-09-0013"/>
    <x v="3"/>
    <s v="FB009"/>
    <x v="7"/>
    <x v="1"/>
    <s v="C004"/>
    <x v="1"/>
    <x v="1"/>
    <n v="89"/>
    <s v="Pack"/>
    <n v="35"/>
    <n v="0.02"/>
    <n v="3115"/>
    <n v="3052.7"/>
    <n v="1780"/>
    <n v="1272.7"/>
    <x v="2"/>
    <s v="Delivered"/>
    <x v="2"/>
  </r>
  <r>
    <s v="INV-26-09-0014"/>
    <x v="10"/>
    <s v="FB007"/>
    <x v="4"/>
    <x v="3"/>
    <s v="C001"/>
    <x v="8"/>
    <x v="8"/>
    <n v="203"/>
    <s v="Pack"/>
    <n v="40"/>
    <n v="0"/>
    <n v="8120"/>
    <n v="8120"/>
    <n v="4669"/>
    <n v="3451"/>
    <x v="1"/>
    <s v="Pending"/>
    <x v="0"/>
  </r>
  <r>
    <s v="INV-26-09-0015"/>
    <x v="11"/>
    <s v="FB004"/>
    <x v="3"/>
    <x v="2"/>
    <s v="C004"/>
    <x v="1"/>
    <x v="1"/>
    <n v="148"/>
    <s v="Tetra Pack"/>
    <n v="25"/>
    <n v="0"/>
    <n v="3700"/>
    <n v="3700"/>
    <n v="2072"/>
    <n v="1628"/>
    <x v="0"/>
    <s v="Returned"/>
    <x v="0"/>
  </r>
  <r>
    <s v="INV-26-09-0016"/>
    <x v="12"/>
    <s v="FB002"/>
    <x v="6"/>
    <x v="1"/>
    <s v="C015"/>
    <x v="9"/>
    <x v="8"/>
    <n v="120"/>
    <s v="Pack"/>
    <n v="20"/>
    <n v="0"/>
    <n v="2400"/>
    <n v="2400"/>
    <n v="1416"/>
    <n v="984"/>
    <x v="2"/>
    <s v="Delivered"/>
    <x v="2"/>
  </r>
  <r>
    <s v="INV-26-09-0017"/>
    <x v="7"/>
    <s v="FB002"/>
    <x v="6"/>
    <x v="1"/>
    <s v="C007"/>
    <x v="4"/>
    <x v="4"/>
    <n v="51"/>
    <s v="Pack"/>
    <n v="20"/>
    <n v="0.05"/>
    <n v="1020"/>
    <n v="969"/>
    <n v="601.79999999999995"/>
    <n v="367.2"/>
    <x v="3"/>
    <s v="Delivered"/>
    <x v="0"/>
  </r>
  <r>
    <s v="INV-26-09-0018"/>
    <x v="13"/>
    <s v="FB004"/>
    <x v="3"/>
    <x v="2"/>
    <s v="C011"/>
    <x v="10"/>
    <x v="9"/>
    <n v="72"/>
    <s v="Tetra Pack"/>
    <n v="25"/>
    <n v="0"/>
    <n v="1800"/>
    <n v="1800"/>
    <n v="1008"/>
    <n v="792"/>
    <x v="0"/>
    <s v="Returned"/>
    <x v="1"/>
  </r>
  <r>
    <s v="INV-26-09-0019"/>
    <x v="9"/>
    <s v="FB004"/>
    <x v="3"/>
    <x v="2"/>
    <s v="C015"/>
    <x v="9"/>
    <x v="8"/>
    <n v="56"/>
    <s v="Tetra Pack"/>
    <n v="25"/>
    <n v="0"/>
    <n v="1400"/>
    <n v="1400"/>
    <n v="784"/>
    <n v="616"/>
    <x v="0"/>
    <s v="Delivered"/>
    <x v="1"/>
  </r>
  <r>
    <s v="INV-26-09-0020"/>
    <x v="14"/>
    <s v="FB006"/>
    <x v="9"/>
    <x v="4"/>
    <s v="C001"/>
    <x v="8"/>
    <x v="8"/>
    <n v="204"/>
    <s v="Pack"/>
    <n v="15"/>
    <n v="0.05"/>
    <n v="3060"/>
    <n v="2907"/>
    <n v="1734"/>
    <n v="1173"/>
    <x v="0"/>
    <s v="Delivered"/>
    <x v="2"/>
  </r>
  <r>
    <s v="INV-26-09-0021"/>
    <x v="2"/>
    <s v="FB003"/>
    <x v="0"/>
    <x v="0"/>
    <s v="C008"/>
    <x v="3"/>
    <x v="3"/>
    <n v="212"/>
    <s v="Bottle"/>
    <n v="85"/>
    <n v="0.03"/>
    <n v="18020"/>
    <n v="17479.400000000001"/>
    <n v="10812"/>
    <n v="6667.4"/>
    <x v="1"/>
    <s v="Delivered"/>
    <x v="1"/>
  </r>
  <r>
    <s v="INV-26-09-0022"/>
    <x v="15"/>
    <s v="FB006"/>
    <x v="9"/>
    <x v="4"/>
    <s v="C007"/>
    <x v="4"/>
    <x v="4"/>
    <n v="220"/>
    <s v="Pack"/>
    <n v="15"/>
    <n v="0"/>
    <n v="3300"/>
    <n v="3300"/>
    <n v="1870"/>
    <n v="1430"/>
    <x v="2"/>
    <s v="Pending"/>
    <x v="2"/>
  </r>
  <r>
    <s v="INV-26-09-0023"/>
    <x v="3"/>
    <s v="FB006"/>
    <x v="9"/>
    <x v="4"/>
    <s v="C009"/>
    <x v="11"/>
    <x v="10"/>
    <n v="37"/>
    <s v="Pack"/>
    <n v="15"/>
    <n v="0.05"/>
    <n v="555"/>
    <n v="527.25"/>
    <n v="314.5"/>
    <n v="212.75"/>
    <x v="0"/>
    <s v="Pending"/>
    <x v="1"/>
  </r>
  <r>
    <s v="INV-26-09-0024"/>
    <x v="2"/>
    <s v="FB005"/>
    <x v="5"/>
    <x v="2"/>
    <s v="C003"/>
    <x v="12"/>
    <x v="11"/>
    <n v="22"/>
    <s v="Tetra Pack"/>
    <n v="25"/>
    <n v="0.05"/>
    <n v="550"/>
    <n v="522.5"/>
    <n v="312.39999999999998"/>
    <n v="210.1"/>
    <x v="3"/>
    <s v="Delivered"/>
    <x v="0"/>
  </r>
  <r>
    <s v="INV-26-09-0025"/>
    <x v="13"/>
    <s v="FB009"/>
    <x v="7"/>
    <x v="1"/>
    <s v="C015"/>
    <x v="9"/>
    <x v="8"/>
    <n v="106"/>
    <s v="Pack"/>
    <n v="35"/>
    <n v="0.03"/>
    <n v="3710"/>
    <n v="3598.7"/>
    <n v="2120"/>
    <n v="1478.7"/>
    <x v="0"/>
    <s v="Delivered"/>
    <x v="2"/>
  </r>
  <r>
    <s v="INV-26-09-0026"/>
    <x v="7"/>
    <s v="FB009"/>
    <x v="7"/>
    <x v="1"/>
    <s v="C009"/>
    <x v="11"/>
    <x v="10"/>
    <n v="68"/>
    <s v="Pack"/>
    <n v="35"/>
    <n v="0"/>
    <n v="2380"/>
    <n v="2380"/>
    <n v="1360"/>
    <n v="1020"/>
    <x v="2"/>
    <s v="Pending"/>
    <x v="0"/>
  </r>
  <r>
    <s v="INV-26-09-0027"/>
    <x v="16"/>
    <s v="FB002"/>
    <x v="6"/>
    <x v="1"/>
    <s v="C004"/>
    <x v="1"/>
    <x v="1"/>
    <n v="119"/>
    <s v="Pack"/>
    <n v="20"/>
    <n v="0.03"/>
    <n v="2380"/>
    <n v="2308.6"/>
    <n v="1404.2"/>
    <n v="904.4"/>
    <x v="2"/>
    <s v="Pending"/>
    <x v="0"/>
  </r>
  <r>
    <s v="INV-26-09-0028"/>
    <x v="17"/>
    <s v="FB006"/>
    <x v="9"/>
    <x v="4"/>
    <s v="C003"/>
    <x v="12"/>
    <x v="11"/>
    <n v="194"/>
    <s v="Pack"/>
    <n v="15"/>
    <n v="0.03"/>
    <n v="2910"/>
    <n v="2822.7"/>
    <n v="1649"/>
    <n v="1173.7"/>
    <x v="0"/>
    <s v="Delivered"/>
    <x v="2"/>
  </r>
  <r>
    <s v="INV-26-09-0029"/>
    <x v="16"/>
    <s v="FB009"/>
    <x v="7"/>
    <x v="1"/>
    <s v="C007"/>
    <x v="4"/>
    <x v="4"/>
    <n v="24"/>
    <s v="Pack"/>
    <n v="35"/>
    <n v="0.03"/>
    <n v="840"/>
    <n v="814.8"/>
    <n v="480"/>
    <n v="334.8"/>
    <x v="3"/>
    <s v="Delivered"/>
    <x v="1"/>
  </r>
  <r>
    <s v="INV-26-09-0030"/>
    <x v="2"/>
    <s v="FB006"/>
    <x v="9"/>
    <x v="4"/>
    <s v="C014"/>
    <x v="5"/>
    <x v="5"/>
    <n v="189"/>
    <s v="Pack"/>
    <n v="15"/>
    <n v="0"/>
    <n v="2835"/>
    <n v="2835"/>
    <n v="1606.5"/>
    <n v="1228.5"/>
    <x v="3"/>
    <s v="Returned"/>
    <x v="1"/>
  </r>
  <r>
    <s v="INV-26-09-0031"/>
    <x v="18"/>
    <s v="FB008"/>
    <x v="8"/>
    <x v="3"/>
    <s v="C015"/>
    <x v="9"/>
    <x v="8"/>
    <n v="99"/>
    <s v="Pack"/>
    <n v="20"/>
    <n v="0.03"/>
    <n v="1980"/>
    <n v="1920.6"/>
    <n v="1089"/>
    <n v="831.6"/>
    <x v="2"/>
    <s v="Delivered"/>
    <x v="1"/>
  </r>
  <r>
    <s v="INV-26-09-0032"/>
    <x v="10"/>
    <s v="FB007"/>
    <x v="4"/>
    <x v="3"/>
    <s v="C010"/>
    <x v="13"/>
    <x v="12"/>
    <n v="217"/>
    <s v="Pack"/>
    <n v="40"/>
    <n v="0"/>
    <n v="8680"/>
    <n v="8680"/>
    <n v="4991"/>
    <n v="3689"/>
    <x v="1"/>
    <s v="Delivered"/>
    <x v="0"/>
  </r>
  <r>
    <s v="INV-26-09-0033"/>
    <x v="2"/>
    <s v="FB009"/>
    <x v="7"/>
    <x v="1"/>
    <s v="C001"/>
    <x v="8"/>
    <x v="8"/>
    <n v="58"/>
    <s v="Pack"/>
    <n v="35"/>
    <n v="0.03"/>
    <n v="2030"/>
    <n v="1969.1"/>
    <n v="1160"/>
    <n v="809.1"/>
    <x v="0"/>
    <s v="Delivered"/>
    <x v="2"/>
  </r>
  <r>
    <s v="INV-26-09-0034"/>
    <x v="5"/>
    <s v="FB006"/>
    <x v="9"/>
    <x v="4"/>
    <s v="C012"/>
    <x v="6"/>
    <x v="6"/>
    <n v="24"/>
    <s v="Pack"/>
    <n v="15"/>
    <n v="0.05"/>
    <n v="360"/>
    <n v="342"/>
    <n v="204"/>
    <n v="138"/>
    <x v="1"/>
    <s v="Delivered"/>
    <x v="2"/>
  </r>
  <r>
    <s v="INV-26-09-0035"/>
    <x v="8"/>
    <s v="FB001"/>
    <x v="2"/>
    <x v="1"/>
    <s v="C010"/>
    <x v="13"/>
    <x v="12"/>
    <n v="76"/>
    <s v="Pack"/>
    <n v="20"/>
    <n v="0"/>
    <n v="1520"/>
    <n v="1520"/>
    <n v="874"/>
    <n v="646"/>
    <x v="3"/>
    <s v="Delivered"/>
    <x v="1"/>
  </r>
  <r>
    <s v="INV-26-09-0036"/>
    <x v="19"/>
    <s v="FB002"/>
    <x v="6"/>
    <x v="1"/>
    <s v="C007"/>
    <x v="4"/>
    <x v="4"/>
    <n v="191"/>
    <s v="Pack"/>
    <n v="20"/>
    <n v="0.02"/>
    <n v="3820"/>
    <n v="3743.6"/>
    <n v="2253.8000000000002"/>
    <n v="1489.8"/>
    <x v="3"/>
    <s v="Delivered"/>
    <x v="1"/>
  </r>
  <r>
    <s v="INV-26-09-0037"/>
    <x v="17"/>
    <s v="FB008"/>
    <x v="8"/>
    <x v="3"/>
    <s v="C008"/>
    <x v="3"/>
    <x v="3"/>
    <n v="164"/>
    <s v="Pack"/>
    <n v="20"/>
    <n v="0.03"/>
    <n v="3280"/>
    <n v="3181.6"/>
    <n v="1804"/>
    <n v="1377.6"/>
    <x v="1"/>
    <s v="Delivered"/>
    <x v="1"/>
  </r>
  <r>
    <s v="INV-26-09-0038"/>
    <x v="20"/>
    <s v="FB010"/>
    <x v="1"/>
    <x v="1"/>
    <s v="C015"/>
    <x v="9"/>
    <x v="8"/>
    <n v="92"/>
    <s v="Pack"/>
    <n v="50"/>
    <n v="0"/>
    <n v="4600"/>
    <n v="4600"/>
    <n v="2668"/>
    <n v="1932"/>
    <x v="0"/>
    <s v="Delivered"/>
    <x v="1"/>
  </r>
  <r>
    <s v="INV-26-09-0039"/>
    <x v="0"/>
    <s v="FB010"/>
    <x v="1"/>
    <x v="1"/>
    <s v="C012"/>
    <x v="6"/>
    <x v="6"/>
    <n v="102"/>
    <s v="Pack"/>
    <n v="50"/>
    <n v="0"/>
    <n v="5100"/>
    <n v="5100"/>
    <n v="2958"/>
    <n v="2142"/>
    <x v="1"/>
    <s v="Delivered"/>
    <x v="2"/>
  </r>
  <r>
    <s v="INV-26-09-0040"/>
    <x v="7"/>
    <s v="FB007"/>
    <x v="4"/>
    <x v="3"/>
    <s v="C001"/>
    <x v="8"/>
    <x v="8"/>
    <n v="209"/>
    <s v="Pack"/>
    <n v="40"/>
    <n v="0"/>
    <n v="8360"/>
    <n v="8360"/>
    <n v="4807"/>
    <n v="3553"/>
    <x v="1"/>
    <s v="Returned"/>
    <x v="2"/>
  </r>
  <r>
    <s v="INV-26-09-0041"/>
    <x v="7"/>
    <s v="FB003"/>
    <x v="0"/>
    <x v="0"/>
    <s v="C015"/>
    <x v="9"/>
    <x v="8"/>
    <n v="134"/>
    <s v="Bottle"/>
    <n v="85"/>
    <n v="0"/>
    <n v="11390"/>
    <n v="11390"/>
    <n v="6834"/>
    <n v="4556"/>
    <x v="0"/>
    <s v="Returned"/>
    <x v="2"/>
  </r>
  <r>
    <s v="INV-26-09-0042"/>
    <x v="19"/>
    <s v="FB001"/>
    <x v="2"/>
    <x v="1"/>
    <s v="C013"/>
    <x v="0"/>
    <x v="0"/>
    <n v="80"/>
    <s v="Pack"/>
    <n v="20"/>
    <n v="0"/>
    <n v="1600"/>
    <n v="1600"/>
    <n v="920"/>
    <n v="680"/>
    <x v="2"/>
    <s v="Returned"/>
    <x v="1"/>
  </r>
  <r>
    <s v="INV-26-09-0043"/>
    <x v="11"/>
    <s v="FB001"/>
    <x v="2"/>
    <x v="1"/>
    <s v="C011"/>
    <x v="10"/>
    <x v="9"/>
    <n v="32"/>
    <s v="Pack"/>
    <n v="20"/>
    <n v="0.03"/>
    <n v="640"/>
    <n v="620.79999999999995"/>
    <n v="368"/>
    <n v="252.8"/>
    <x v="1"/>
    <s v="Pending"/>
    <x v="2"/>
  </r>
  <r>
    <s v="INV-26-09-0044"/>
    <x v="10"/>
    <s v="FB009"/>
    <x v="7"/>
    <x v="1"/>
    <s v="C006"/>
    <x v="14"/>
    <x v="13"/>
    <n v="104"/>
    <s v="Pack"/>
    <n v="35"/>
    <n v="0.02"/>
    <n v="3640"/>
    <n v="3567.2"/>
    <n v="2080"/>
    <n v="1487.2"/>
    <x v="1"/>
    <s v="Delivered"/>
    <x v="1"/>
  </r>
  <r>
    <s v="INV-26-09-0045"/>
    <x v="9"/>
    <s v="FB002"/>
    <x v="6"/>
    <x v="1"/>
    <s v="C011"/>
    <x v="10"/>
    <x v="9"/>
    <n v="61"/>
    <s v="Pack"/>
    <n v="20"/>
    <n v="0.05"/>
    <n v="1220"/>
    <n v="1159"/>
    <n v="719.8"/>
    <n v="439.2"/>
    <x v="0"/>
    <s v="Delivered"/>
    <x v="0"/>
  </r>
  <r>
    <s v="INV-26-09-0046"/>
    <x v="21"/>
    <s v="FB002"/>
    <x v="6"/>
    <x v="1"/>
    <s v="C004"/>
    <x v="1"/>
    <x v="1"/>
    <n v="122"/>
    <s v="Pack"/>
    <n v="20"/>
    <n v="0.05"/>
    <n v="2440"/>
    <n v="2318"/>
    <n v="1439.6"/>
    <n v="878.4"/>
    <x v="3"/>
    <s v="Pending"/>
    <x v="0"/>
  </r>
  <r>
    <s v="INV-26-09-0047"/>
    <x v="20"/>
    <s v="FB002"/>
    <x v="6"/>
    <x v="1"/>
    <s v="C015"/>
    <x v="9"/>
    <x v="8"/>
    <n v="27"/>
    <s v="Pack"/>
    <n v="20"/>
    <n v="0.02"/>
    <n v="540"/>
    <n v="529.20000000000005"/>
    <n v="318.60000000000002"/>
    <n v="210.6"/>
    <x v="1"/>
    <s v="Delivered"/>
    <x v="0"/>
  </r>
  <r>
    <s v="INV-26-09-0048"/>
    <x v="11"/>
    <s v="FB004"/>
    <x v="3"/>
    <x v="2"/>
    <s v="C012"/>
    <x v="6"/>
    <x v="6"/>
    <n v="188"/>
    <s v="Tetra Pack"/>
    <n v="25"/>
    <n v="0"/>
    <n v="4700"/>
    <n v="4700"/>
    <n v="2632"/>
    <n v="2068"/>
    <x v="3"/>
    <s v="Returned"/>
    <x v="1"/>
  </r>
  <r>
    <s v="INV-26-09-0049"/>
    <x v="5"/>
    <s v="FB001"/>
    <x v="2"/>
    <x v="1"/>
    <s v="C001"/>
    <x v="8"/>
    <x v="8"/>
    <n v="114"/>
    <s v="Pack"/>
    <n v="20"/>
    <n v="0.03"/>
    <n v="2280"/>
    <n v="2211.6"/>
    <n v="1311"/>
    <n v="900.6"/>
    <x v="1"/>
    <s v="Delivered"/>
    <x v="2"/>
  </r>
  <r>
    <s v="INV-26-09-0050"/>
    <x v="19"/>
    <s v="FB005"/>
    <x v="5"/>
    <x v="2"/>
    <s v="C011"/>
    <x v="10"/>
    <x v="9"/>
    <n v="159"/>
    <s v="Tetra Pack"/>
    <n v="25"/>
    <n v="0"/>
    <n v="3975"/>
    <n v="3975"/>
    <n v="2257.8000000000002"/>
    <n v="1717.2"/>
    <x v="1"/>
    <s v="Delivered"/>
    <x v="0"/>
  </r>
  <r>
    <s v="INV-26-09-0051"/>
    <x v="12"/>
    <s v="FB010"/>
    <x v="1"/>
    <x v="1"/>
    <s v="C007"/>
    <x v="4"/>
    <x v="4"/>
    <n v="94"/>
    <s v="Pack"/>
    <n v="50"/>
    <n v="0"/>
    <n v="4700"/>
    <n v="4700"/>
    <n v="2726"/>
    <n v="1974"/>
    <x v="2"/>
    <s v="Pending"/>
    <x v="1"/>
  </r>
  <r>
    <s v="INV-26-09-0052"/>
    <x v="17"/>
    <s v="FB005"/>
    <x v="5"/>
    <x v="2"/>
    <s v="C009"/>
    <x v="11"/>
    <x v="10"/>
    <n v="186"/>
    <s v="Tetra Pack"/>
    <n v="25"/>
    <n v="0"/>
    <n v="4650"/>
    <n v="4650"/>
    <n v="2641.2"/>
    <n v="2008.8"/>
    <x v="1"/>
    <s v="Delivered"/>
    <x v="2"/>
  </r>
  <r>
    <s v="INV-26-09-0053"/>
    <x v="22"/>
    <s v="FB001"/>
    <x v="2"/>
    <x v="1"/>
    <s v="C014"/>
    <x v="5"/>
    <x v="5"/>
    <n v="22"/>
    <s v="Pack"/>
    <n v="20"/>
    <n v="0.05"/>
    <n v="440"/>
    <n v="418"/>
    <n v="253"/>
    <n v="165"/>
    <x v="3"/>
    <s v="Delivered"/>
    <x v="1"/>
  </r>
  <r>
    <s v="INV-26-09-0054"/>
    <x v="19"/>
    <s v="FB005"/>
    <x v="5"/>
    <x v="2"/>
    <s v="C012"/>
    <x v="6"/>
    <x v="6"/>
    <n v="138"/>
    <s v="Tetra Pack"/>
    <n v="25"/>
    <n v="0"/>
    <n v="3450"/>
    <n v="3450"/>
    <n v="1959.6"/>
    <n v="1490.4"/>
    <x v="3"/>
    <s v="Delivered"/>
    <x v="0"/>
  </r>
  <r>
    <s v="INV-26-09-0055"/>
    <x v="21"/>
    <s v="FB008"/>
    <x v="8"/>
    <x v="3"/>
    <s v="C005"/>
    <x v="2"/>
    <x v="2"/>
    <n v="207"/>
    <s v="Pack"/>
    <n v="20"/>
    <n v="0.05"/>
    <n v="4140"/>
    <n v="3933"/>
    <n v="2277"/>
    <n v="1656"/>
    <x v="3"/>
    <s v="Returned"/>
    <x v="1"/>
  </r>
  <r>
    <s v="INV-26-09-0056"/>
    <x v="9"/>
    <s v="FB004"/>
    <x v="3"/>
    <x v="2"/>
    <s v="C008"/>
    <x v="3"/>
    <x v="3"/>
    <n v="61"/>
    <s v="Tetra Pack"/>
    <n v="25"/>
    <n v="0.02"/>
    <n v="1525"/>
    <n v="1494.5"/>
    <n v="854"/>
    <n v="640.5"/>
    <x v="3"/>
    <s v="Delivered"/>
    <x v="1"/>
  </r>
  <r>
    <s v="INV-26-09-0057"/>
    <x v="10"/>
    <s v="FB004"/>
    <x v="3"/>
    <x v="2"/>
    <s v="C010"/>
    <x v="13"/>
    <x v="12"/>
    <n v="213"/>
    <s v="Tetra Pack"/>
    <n v="25"/>
    <n v="0"/>
    <n v="5325"/>
    <n v="5325"/>
    <n v="2982"/>
    <n v="2343"/>
    <x v="2"/>
    <s v="Delivered"/>
    <x v="2"/>
  </r>
  <r>
    <s v="INV-26-09-0058"/>
    <x v="19"/>
    <s v="FB001"/>
    <x v="2"/>
    <x v="1"/>
    <s v="C003"/>
    <x v="12"/>
    <x v="11"/>
    <n v="124"/>
    <s v="Pack"/>
    <n v="20"/>
    <n v="0.03"/>
    <n v="2480"/>
    <n v="2405.6"/>
    <n v="1426"/>
    <n v="979.6"/>
    <x v="3"/>
    <s v="Delivered"/>
    <x v="2"/>
  </r>
  <r>
    <s v="INV-26-09-0059"/>
    <x v="17"/>
    <s v="FB003"/>
    <x v="0"/>
    <x v="0"/>
    <s v="C003"/>
    <x v="12"/>
    <x v="11"/>
    <n v="153"/>
    <s v="Bottle"/>
    <n v="85"/>
    <n v="0.02"/>
    <n v="13005"/>
    <n v="12744.9"/>
    <n v="7803"/>
    <n v="4941.8999999999996"/>
    <x v="2"/>
    <s v="Delivered"/>
    <x v="1"/>
  </r>
  <r>
    <s v="INV-26-09-0060"/>
    <x v="19"/>
    <s v="FB008"/>
    <x v="8"/>
    <x v="3"/>
    <s v="C004"/>
    <x v="1"/>
    <x v="1"/>
    <n v="96"/>
    <s v="Pack"/>
    <n v="20"/>
    <n v="0"/>
    <n v="1920"/>
    <n v="1920"/>
    <n v="1056"/>
    <n v="864"/>
    <x v="2"/>
    <s v="Delivered"/>
    <x v="0"/>
  </r>
  <r>
    <s v="INV-26-09-0061"/>
    <x v="15"/>
    <s v="FB006"/>
    <x v="9"/>
    <x v="4"/>
    <s v="C015"/>
    <x v="9"/>
    <x v="8"/>
    <n v="40"/>
    <s v="Pack"/>
    <n v="15"/>
    <n v="0"/>
    <n v="600"/>
    <n v="600"/>
    <n v="340"/>
    <n v="260"/>
    <x v="3"/>
    <s v="Pending"/>
    <x v="2"/>
  </r>
  <r>
    <s v="INV-26-09-0062"/>
    <x v="17"/>
    <s v="FB004"/>
    <x v="3"/>
    <x v="2"/>
    <s v="C013"/>
    <x v="0"/>
    <x v="0"/>
    <n v="137"/>
    <s v="Tetra Pack"/>
    <n v="25"/>
    <n v="0"/>
    <n v="3425"/>
    <n v="3425"/>
    <n v="1918"/>
    <n v="1507"/>
    <x v="1"/>
    <s v="Delivered"/>
    <x v="2"/>
  </r>
  <r>
    <s v="INV-26-09-0063"/>
    <x v="9"/>
    <s v="FB004"/>
    <x v="3"/>
    <x v="2"/>
    <s v="C011"/>
    <x v="10"/>
    <x v="9"/>
    <n v="77"/>
    <s v="Tetra Pack"/>
    <n v="25"/>
    <n v="0"/>
    <n v="1925"/>
    <n v="1925"/>
    <n v="1078"/>
    <n v="847"/>
    <x v="0"/>
    <s v="Returned"/>
    <x v="2"/>
  </r>
  <r>
    <s v="INV-26-09-0064"/>
    <x v="7"/>
    <s v="FB005"/>
    <x v="5"/>
    <x v="2"/>
    <s v="C001"/>
    <x v="8"/>
    <x v="8"/>
    <n v="75"/>
    <s v="Tetra Pack"/>
    <n v="25"/>
    <n v="0"/>
    <n v="1875"/>
    <n v="1875"/>
    <n v="1065"/>
    <n v="810"/>
    <x v="3"/>
    <s v="Delivered"/>
    <x v="2"/>
  </r>
  <r>
    <s v="INV-26-09-0065"/>
    <x v="5"/>
    <s v="FB005"/>
    <x v="5"/>
    <x v="2"/>
    <s v="C007"/>
    <x v="4"/>
    <x v="4"/>
    <n v="123"/>
    <s v="Tetra Pack"/>
    <n v="25"/>
    <n v="0.03"/>
    <n v="3075"/>
    <n v="2982.75"/>
    <n v="1746.6"/>
    <n v="1236.1500000000001"/>
    <x v="2"/>
    <s v="Delivered"/>
    <x v="1"/>
  </r>
  <r>
    <s v="INV-26-09-0066"/>
    <x v="3"/>
    <s v="FB010"/>
    <x v="1"/>
    <x v="1"/>
    <s v="C012"/>
    <x v="6"/>
    <x v="6"/>
    <n v="92"/>
    <s v="Pack"/>
    <n v="50"/>
    <n v="0.03"/>
    <n v="4600"/>
    <n v="4462"/>
    <n v="2668"/>
    <n v="1794"/>
    <x v="1"/>
    <s v="Returned"/>
    <x v="0"/>
  </r>
  <r>
    <s v="INV-26-09-0067"/>
    <x v="23"/>
    <s v="FB005"/>
    <x v="5"/>
    <x v="2"/>
    <s v="C005"/>
    <x v="2"/>
    <x v="2"/>
    <n v="20"/>
    <s v="Tetra Pack"/>
    <n v="25"/>
    <n v="0"/>
    <n v="500"/>
    <n v="500"/>
    <n v="284"/>
    <n v="216"/>
    <x v="1"/>
    <s v="Delivered"/>
    <x v="1"/>
  </r>
  <r>
    <s v="INV-26-09-0068"/>
    <x v="24"/>
    <s v="FB004"/>
    <x v="3"/>
    <x v="2"/>
    <s v="C003"/>
    <x v="12"/>
    <x v="11"/>
    <n v="92"/>
    <s v="Tetra Pack"/>
    <n v="25"/>
    <n v="0.02"/>
    <n v="2300"/>
    <n v="2254"/>
    <n v="1288"/>
    <n v="966"/>
    <x v="1"/>
    <s v="Delivered"/>
    <x v="0"/>
  </r>
  <r>
    <s v="INV-26-09-0069"/>
    <x v="16"/>
    <s v="FB005"/>
    <x v="5"/>
    <x v="2"/>
    <s v="C007"/>
    <x v="4"/>
    <x v="4"/>
    <n v="112"/>
    <s v="Tetra Pack"/>
    <n v="25"/>
    <n v="0.03"/>
    <n v="2800"/>
    <n v="2716"/>
    <n v="1590.4"/>
    <n v="1125.5999999999999"/>
    <x v="2"/>
    <s v="Pending"/>
    <x v="0"/>
  </r>
  <r>
    <s v="INV-26-09-0070"/>
    <x v="4"/>
    <s v="FB005"/>
    <x v="5"/>
    <x v="2"/>
    <s v="C007"/>
    <x v="4"/>
    <x v="4"/>
    <n v="125"/>
    <s v="Tetra Pack"/>
    <n v="25"/>
    <n v="0"/>
    <n v="3125"/>
    <n v="3125"/>
    <n v="1775"/>
    <n v="1350"/>
    <x v="3"/>
    <s v="Delivered"/>
    <x v="0"/>
  </r>
  <r>
    <s v="INV-26-09-0071"/>
    <x v="1"/>
    <s v="FB003"/>
    <x v="0"/>
    <x v="0"/>
    <s v="C001"/>
    <x v="8"/>
    <x v="8"/>
    <n v="16"/>
    <s v="Bottle"/>
    <n v="85"/>
    <n v="0.02"/>
    <n v="1360"/>
    <n v="1332.8"/>
    <n v="816"/>
    <n v="516.79999999999995"/>
    <x v="1"/>
    <s v="Delivered"/>
    <x v="1"/>
  </r>
  <r>
    <s v="INV-26-09-0072"/>
    <x v="5"/>
    <s v="FB003"/>
    <x v="0"/>
    <x v="0"/>
    <s v="C013"/>
    <x v="0"/>
    <x v="0"/>
    <n v="171"/>
    <s v="Bottle"/>
    <n v="85"/>
    <n v="0.02"/>
    <n v="14535"/>
    <n v="14244.3"/>
    <n v="8721"/>
    <n v="5523.3"/>
    <x v="0"/>
    <s v="Delivered"/>
    <x v="1"/>
  </r>
  <r>
    <s v="INV-26-09-0073"/>
    <x v="7"/>
    <s v="FB001"/>
    <x v="2"/>
    <x v="1"/>
    <s v="C015"/>
    <x v="9"/>
    <x v="8"/>
    <n v="191"/>
    <s v="Pack"/>
    <n v="20"/>
    <n v="0.02"/>
    <n v="3820"/>
    <n v="3743.6"/>
    <n v="2196.5"/>
    <n v="1547.1"/>
    <x v="0"/>
    <s v="Returned"/>
    <x v="2"/>
  </r>
  <r>
    <s v="INV-26-09-0074"/>
    <x v="10"/>
    <s v="FB008"/>
    <x v="8"/>
    <x v="3"/>
    <s v="C005"/>
    <x v="2"/>
    <x v="2"/>
    <n v="171"/>
    <s v="Pack"/>
    <n v="20"/>
    <n v="0"/>
    <n v="3420"/>
    <n v="3420"/>
    <n v="1881"/>
    <n v="1539"/>
    <x v="3"/>
    <s v="Returned"/>
    <x v="2"/>
  </r>
  <r>
    <s v="INV-26-09-0075"/>
    <x v="14"/>
    <s v="FB004"/>
    <x v="3"/>
    <x v="2"/>
    <s v="C013"/>
    <x v="0"/>
    <x v="0"/>
    <n v="144"/>
    <s v="Tetra Pack"/>
    <n v="25"/>
    <n v="0"/>
    <n v="3600"/>
    <n v="3600"/>
    <n v="2016"/>
    <n v="1584"/>
    <x v="2"/>
    <s v="Pending"/>
    <x v="2"/>
  </r>
  <r>
    <s v="INV-26-09-0076"/>
    <x v="3"/>
    <s v="FB006"/>
    <x v="9"/>
    <x v="4"/>
    <s v="C001"/>
    <x v="8"/>
    <x v="8"/>
    <n v="104"/>
    <s v="Pack"/>
    <n v="15"/>
    <n v="0.05"/>
    <n v="1560"/>
    <n v="1482"/>
    <n v="884"/>
    <n v="598"/>
    <x v="0"/>
    <s v="Pending"/>
    <x v="0"/>
  </r>
  <r>
    <s v="INV-26-09-0077"/>
    <x v="25"/>
    <s v="FB008"/>
    <x v="8"/>
    <x v="3"/>
    <s v="C014"/>
    <x v="5"/>
    <x v="5"/>
    <n v="162"/>
    <s v="Pack"/>
    <n v="20"/>
    <n v="0"/>
    <n v="3240"/>
    <n v="3240"/>
    <n v="1782"/>
    <n v="1458"/>
    <x v="3"/>
    <s v="Pending"/>
    <x v="0"/>
  </r>
  <r>
    <s v="INV-26-09-0078"/>
    <x v="24"/>
    <s v="FB003"/>
    <x v="0"/>
    <x v="0"/>
    <s v="C008"/>
    <x v="3"/>
    <x v="3"/>
    <n v="160"/>
    <s v="Bottle"/>
    <n v="85"/>
    <n v="0"/>
    <n v="13600"/>
    <n v="13600"/>
    <n v="8160"/>
    <n v="5440"/>
    <x v="0"/>
    <s v="Pending"/>
    <x v="2"/>
  </r>
  <r>
    <s v="INV-26-09-0079"/>
    <x v="15"/>
    <s v="FB004"/>
    <x v="3"/>
    <x v="2"/>
    <s v="C003"/>
    <x v="12"/>
    <x v="11"/>
    <n v="59"/>
    <s v="Tetra Pack"/>
    <n v="25"/>
    <n v="0"/>
    <n v="1475"/>
    <n v="1475"/>
    <n v="826"/>
    <n v="649"/>
    <x v="2"/>
    <s v="Delivered"/>
    <x v="1"/>
  </r>
  <r>
    <s v="INV-26-09-0080"/>
    <x v="26"/>
    <s v="FB007"/>
    <x v="4"/>
    <x v="3"/>
    <s v="C012"/>
    <x v="6"/>
    <x v="6"/>
    <n v="61"/>
    <s v="Pack"/>
    <n v="40"/>
    <n v="0.03"/>
    <n v="2440"/>
    <n v="2366.8000000000002"/>
    <n v="1403"/>
    <n v="963.8"/>
    <x v="3"/>
    <s v="Pending"/>
    <x v="0"/>
  </r>
  <r>
    <s v="INV-26-09-0081"/>
    <x v="27"/>
    <s v="FB003"/>
    <x v="0"/>
    <x v="0"/>
    <s v="C009"/>
    <x v="11"/>
    <x v="10"/>
    <n v="137"/>
    <s v="Bottle"/>
    <n v="85"/>
    <n v="0.05"/>
    <n v="11645"/>
    <n v="11062.75"/>
    <n v="6987"/>
    <n v="4075.75"/>
    <x v="3"/>
    <s v="Delivered"/>
    <x v="2"/>
  </r>
  <r>
    <s v="INV-26-09-0082"/>
    <x v="28"/>
    <s v="FB004"/>
    <x v="3"/>
    <x v="2"/>
    <s v="C014"/>
    <x v="5"/>
    <x v="5"/>
    <n v="32"/>
    <s v="Tetra Pack"/>
    <n v="25"/>
    <n v="0.03"/>
    <n v="800"/>
    <n v="776"/>
    <n v="448"/>
    <n v="328"/>
    <x v="1"/>
    <s v="Delivered"/>
    <x v="1"/>
  </r>
  <r>
    <s v="INV-26-09-0083"/>
    <x v="25"/>
    <s v="FB002"/>
    <x v="6"/>
    <x v="1"/>
    <s v="C011"/>
    <x v="10"/>
    <x v="9"/>
    <n v="181"/>
    <s v="Pack"/>
    <n v="20"/>
    <n v="0.05"/>
    <n v="3620"/>
    <n v="3439"/>
    <n v="2135.8000000000002"/>
    <n v="1303.2"/>
    <x v="2"/>
    <s v="Delivered"/>
    <x v="2"/>
  </r>
  <r>
    <s v="INV-26-09-0084"/>
    <x v="3"/>
    <s v="FB009"/>
    <x v="7"/>
    <x v="1"/>
    <s v="C013"/>
    <x v="0"/>
    <x v="0"/>
    <n v="87"/>
    <s v="Pack"/>
    <n v="35"/>
    <n v="0"/>
    <n v="3045"/>
    <n v="3045"/>
    <n v="1740"/>
    <n v="1305"/>
    <x v="0"/>
    <s v="Delivered"/>
    <x v="0"/>
  </r>
  <r>
    <s v="INV-26-09-0085"/>
    <x v="13"/>
    <s v="FB002"/>
    <x v="6"/>
    <x v="1"/>
    <s v="C005"/>
    <x v="2"/>
    <x v="2"/>
    <n v="167"/>
    <s v="Pack"/>
    <n v="20"/>
    <n v="0.02"/>
    <n v="3340"/>
    <n v="3273.2"/>
    <n v="1970.6"/>
    <n v="1302.5999999999999"/>
    <x v="0"/>
    <s v="Delivered"/>
    <x v="1"/>
  </r>
  <r>
    <s v="INV-26-09-0086"/>
    <x v="17"/>
    <s v="FB008"/>
    <x v="8"/>
    <x v="3"/>
    <s v="C002"/>
    <x v="7"/>
    <x v="7"/>
    <n v="110"/>
    <s v="Pack"/>
    <n v="20"/>
    <n v="0.03"/>
    <n v="2200"/>
    <n v="2134"/>
    <n v="1210"/>
    <n v="924"/>
    <x v="2"/>
    <s v="Returned"/>
    <x v="1"/>
  </r>
  <r>
    <s v="INV-26-09-0087"/>
    <x v="6"/>
    <s v="FB002"/>
    <x v="6"/>
    <x v="1"/>
    <s v="C012"/>
    <x v="6"/>
    <x v="6"/>
    <n v="158"/>
    <s v="Pack"/>
    <n v="20"/>
    <n v="0"/>
    <n v="3160"/>
    <n v="3160"/>
    <n v="1864.4"/>
    <n v="1295.5999999999999"/>
    <x v="2"/>
    <s v="Delivered"/>
    <x v="2"/>
  </r>
  <r>
    <s v="INV-26-09-0088"/>
    <x v="17"/>
    <s v="FB010"/>
    <x v="1"/>
    <x v="1"/>
    <s v="C008"/>
    <x v="3"/>
    <x v="3"/>
    <n v="195"/>
    <s v="Pack"/>
    <n v="50"/>
    <n v="0.02"/>
    <n v="9750"/>
    <n v="9555"/>
    <n v="5655"/>
    <n v="3900"/>
    <x v="1"/>
    <s v="Delivered"/>
    <x v="1"/>
  </r>
  <r>
    <s v="INV-26-09-0089"/>
    <x v="9"/>
    <s v="FB005"/>
    <x v="5"/>
    <x v="2"/>
    <s v="C002"/>
    <x v="7"/>
    <x v="7"/>
    <n v="61"/>
    <s v="Tetra Pack"/>
    <n v="25"/>
    <n v="0.02"/>
    <n v="1525"/>
    <n v="1494.5"/>
    <n v="866.2"/>
    <n v="628.29999999999995"/>
    <x v="3"/>
    <s v="Pending"/>
    <x v="0"/>
  </r>
  <r>
    <s v="INV-26-09-0090"/>
    <x v="0"/>
    <s v="FB008"/>
    <x v="8"/>
    <x v="3"/>
    <s v="C011"/>
    <x v="10"/>
    <x v="9"/>
    <n v="210"/>
    <s v="Pack"/>
    <n v="20"/>
    <n v="0.02"/>
    <n v="4200"/>
    <n v="4116"/>
    <n v="2310"/>
    <n v="1806"/>
    <x v="3"/>
    <s v="Returned"/>
    <x v="2"/>
  </r>
  <r>
    <s v="INV-26-09-0091"/>
    <x v="16"/>
    <s v="FB002"/>
    <x v="6"/>
    <x v="1"/>
    <s v="C013"/>
    <x v="0"/>
    <x v="0"/>
    <n v="89"/>
    <s v="Pack"/>
    <n v="20"/>
    <n v="0.05"/>
    <n v="1780"/>
    <n v="1691"/>
    <n v="1050.2"/>
    <n v="640.79999999999995"/>
    <x v="2"/>
    <s v="Delivered"/>
    <x v="2"/>
  </r>
  <r>
    <s v="INV-26-09-0092"/>
    <x v="23"/>
    <s v="FB004"/>
    <x v="3"/>
    <x v="2"/>
    <s v="C008"/>
    <x v="3"/>
    <x v="3"/>
    <n v="146"/>
    <s v="Tetra Pack"/>
    <n v="25"/>
    <n v="0.02"/>
    <n v="3650"/>
    <n v="3577"/>
    <n v="2044"/>
    <n v="1533"/>
    <x v="1"/>
    <s v="Delivered"/>
    <x v="2"/>
  </r>
  <r>
    <s v="INV-26-09-0093"/>
    <x v="9"/>
    <s v="FB004"/>
    <x v="3"/>
    <x v="2"/>
    <s v="C007"/>
    <x v="4"/>
    <x v="4"/>
    <n v="165"/>
    <s v="Tetra Pack"/>
    <n v="25"/>
    <n v="0.03"/>
    <n v="4125"/>
    <n v="4001.25"/>
    <n v="2310"/>
    <n v="1691.25"/>
    <x v="1"/>
    <s v="Delivered"/>
    <x v="0"/>
  </r>
  <r>
    <s v="INV-26-09-0094"/>
    <x v="23"/>
    <s v="FB008"/>
    <x v="8"/>
    <x v="3"/>
    <s v="C002"/>
    <x v="7"/>
    <x v="7"/>
    <n v="121"/>
    <s v="Pack"/>
    <n v="20"/>
    <n v="0"/>
    <n v="2420"/>
    <n v="2420"/>
    <n v="1331"/>
    <n v="1089"/>
    <x v="3"/>
    <s v="Delivered"/>
    <x v="2"/>
  </r>
  <r>
    <s v="INV-26-09-0095"/>
    <x v="0"/>
    <s v="FB010"/>
    <x v="1"/>
    <x v="1"/>
    <s v="C009"/>
    <x v="11"/>
    <x v="10"/>
    <n v="43"/>
    <s v="Pack"/>
    <n v="50"/>
    <n v="0.02"/>
    <n v="2150"/>
    <n v="2107"/>
    <n v="1247"/>
    <n v="860"/>
    <x v="0"/>
    <s v="Returned"/>
    <x v="0"/>
  </r>
  <r>
    <s v="INV-26-09-0096"/>
    <x v="28"/>
    <s v="FB007"/>
    <x v="4"/>
    <x v="3"/>
    <s v="C004"/>
    <x v="1"/>
    <x v="1"/>
    <n v="133"/>
    <s v="Pack"/>
    <n v="40"/>
    <n v="0"/>
    <n v="5320"/>
    <n v="5320"/>
    <n v="3059"/>
    <n v="2261"/>
    <x v="2"/>
    <s v="Delivered"/>
    <x v="1"/>
  </r>
  <r>
    <s v="INV-26-09-0097"/>
    <x v="22"/>
    <s v="FB006"/>
    <x v="9"/>
    <x v="4"/>
    <s v="C010"/>
    <x v="13"/>
    <x v="12"/>
    <n v="112"/>
    <s v="Pack"/>
    <n v="15"/>
    <n v="0.02"/>
    <n v="1680"/>
    <n v="1646.4"/>
    <n v="952"/>
    <n v="694.4"/>
    <x v="2"/>
    <s v="Delivered"/>
    <x v="1"/>
  </r>
  <r>
    <s v="INV-26-09-0098"/>
    <x v="21"/>
    <s v="FB003"/>
    <x v="0"/>
    <x v="0"/>
    <s v="C013"/>
    <x v="0"/>
    <x v="0"/>
    <n v="48"/>
    <s v="Bottle"/>
    <n v="85"/>
    <n v="0.05"/>
    <n v="4080"/>
    <n v="3876"/>
    <n v="2448"/>
    <n v="1428"/>
    <x v="0"/>
    <s v="Delivered"/>
    <x v="2"/>
  </r>
  <r>
    <s v="INV-26-09-0099"/>
    <x v="6"/>
    <s v="FB001"/>
    <x v="2"/>
    <x v="1"/>
    <s v="C002"/>
    <x v="7"/>
    <x v="7"/>
    <n v="192"/>
    <s v="Pack"/>
    <n v="20"/>
    <n v="0"/>
    <n v="3840"/>
    <n v="3840"/>
    <n v="2208"/>
    <n v="1632"/>
    <x v="2"/>
    <s v="Delivered"/>
    <x v="1"/>
  </r>
  <r>
    <s v="INV-26-09-0100"/>
    <x v="19"/>
    <s v="FB003"/>
    <x v="0"/>
    <x v="0"/>
    <s v="C007"/>
    <x v="4"/>
    <x v="4"/>
    <n v="139"/>
    <s v="Bottle"/>
    <n v="85"/>
    <n v="0.02"/>
    <n v="11815"/>
    <n v="11578.7"/>
    <n v="7089"/>
    <n v="4489.7"/>
    <x v="0"/>
    <s v="Delivered"/>
    <x v="1"/>
  </r>
  <r>
    <s v="INV-26-09-0101"/>
    <x v="25"/>
    <s v="FB005"/>
    <x v="5"/>
    <x v="2"/>
    <s v="C010"/>
    <x v="13"/>
    <x v="12"/>
    <n v="48"/>
    <s v="Tetra Pack"/>
    <n v="25"/>
    <n v="0"/>
    <n v="1200"/>
    <n v="1200"/>
    <n v="681.6"/>
    <n v="518.4"/>
    <x v="2"/>
    <s v="Returned"/>
    <x v="2"/>
  </r>
  <r>
    <s v="INV-26-09-0102"/>
    <x v="6"/>
    <s v="FB006"/>
    <x v="9"/>
    <x v="4"/>
    <s v="C005"/>
    <x v="2"/>
    <x v="2"/>
    <n v="72"/>
    <s v="Pack"/>
    <n v="15"/>
    <n v="0"/>
    <n v="1080"/>
    <n v="1080"/>
    <n v="612"/>
    <n v="468"/>
    <x v="3"/>
    <s v="Delivered"/>
    <x v="0"/>
  </r>
  <r>
    <s v="INV-26-09-0103"/>
    <x v="16"/>
    <s v="FB002"/>
    <x v="6"/>
    <x v="1"/>
    <s v="C014"/>
    <x v="5"/>
    <x v="5"/>
    <n v="203"/>
    <s v="Pack"/>
    <n v="20"/>
    <n v="0"/>
    <n v="4060"/>
    <n v="4060"/>
    <n v="2395.4"/>
    <n v="1664.6"/>
    <x v="3"/>
    <s v="Pending"/>
    <x v="2"/>
  </r>
  <r>
    <s v="INV-26-09-0104"/>
    <x v="10"/>
    <s v="FB008"/>
    <x v="8"/>
    <x v="3"/>
    <s v="C003"/>
    <x v="12"/>
    <x v="11"/>
    <n v="218"/>
    <s v="Pack"/>
    <n v="20"/>
    <n v="0.03"/>
    <n v="4360"/>
    <n v="4229.2"/>
    <n v="2398"/>
    <n v="1831.2"/>
    <x v="3"/>
    <s v="Returned"/>
    <x v="1"/>
  </r>
  <r>
    <s v="INV-26-09-0105"/>
    <x v="24"/>
    <s v="FB003"/>
    <x v="0"/>
    <x v="0"/>
    <s v="C003"/>
    <x v="12"/>
    <x v="11"/>
    <n v="171"/>
    <s v="Bottle"/>
    <n v="85"/>
    <n v="0.05"/>
    <n v="14535"/>
    <n v="13808.25"/>
    <n v="8721"/>
    <n v="5087.25"/>
    <x v="2"/>
    <s v="Delivered"/>
    <x v="1"/>
  </r>
  <r>
    <s v="INV-26-09-0106"/>
    <x v="14"/>
    <s v="FB006"/>
    <x v="9"/>
    <x v="4"/>
    <s v="C004"/>
    <x v="1"/>
    <x v="1"/>
    <n v="170"/>
    <s v="Pack"/>
    <n v="15"/>
    <n v="0"/>
    <n v="2550"/>
    <n v="2550"/>
    <n v="1445"/>
    <n v="1105"/>
    <x v="1"/>
    <s v="Returned"/>
    <x v="2"/>
  </r>
  <r>
    <s v="INV-26-09-0107"/>
    <x v="4"/>
    <s v="FB008"/>
    <x v="8"/>
    <x v="3"/>
    <s v="C009"/>
    <x v="11"/>
    <x v="10"/>
    <n v="200"/>
    <s v="Pack"/>
    <n v="20"/>
    <n v="0"/>
    <n v="4000"/>
    <n v="4000"/>
    <n v="2200"/>
    <n v="1800"/>
    <x v="2"/>
    <s v="Delivered"/>
    <x v="1"/>
  </r>
  <r>
    <s v="INV-26-09-0108"/>
    <x v="7"/>
    <s v="FB008"/>
    <x v="8"/>
    <x v="3"/>
    <s v="C008"/>
    <x v="3"/>
    <x v="3"/>
    <n v="97"/>
    <s v="Pack"/>
    <n v="20"/>
    <n v="0"/>
    <n v="1940"/>
    <n v="1940"/>
    <n v="1067"/>
    <n v="873"/>
    <x v="1"/>
    <s v="Delivered"/>
    <x v="0"/>
  </r>
  <r>
    <s v="INV-26-09-0109"/>
    <x v="12"/>
    <s v="FB003"/>
    <x v="0"/>
    <x v="0"/>
    <s v="C006"/>
    <x v="14"/>
    <x v="13"/>
    <n v="118"/>
    <s v="Bottle"/>
    <n v="85"/>
    <n v="0"/>
    <n v="10030"/>
    <n v="10030"/>
    <n v="6018"/>
    <n v="4012"/>
    <x v="0"/>
    <s v="Delivered"/>
    <x v="0"/>
  </r>
  <r>
    <s v="INV-26-09-0110"/>
    <x v="1"/>
    <s v="FB003"/>
    <x v="0"/>
    <x v="0"/>
    <s v="C013"/>
    <x v="0"/>
    <x v="0"/>
    <n v="92"/>
    <s v="Bottle"/>
    <n v="85"/>
    <n v="0.05"/>
    <n v="7820"/>
    <n v="7429"/>
    <n v="4692"/>
    <n v="2737"/>
    <x v="3"/>
    <s v="Delivered"/>
    <x v="0"/>
  </r>
  <r>
    <s v="INV-26-09-0111"/>
    <x v="2"/>
    <s v="FB001"/>
    <x v="2"/>
    <x v="1"/>
    <s v="C006"/>
    <x v="14"/>
    <x v="13"/>
    <n v="38"/>
    <s v="Pack"/>
    <n v="20"/>
    <n v="0"/>
    <n v="760"/>
    <n v="760"/>
    <n v="437"/>
    <n v="323"/>
    <x v="0"/>
    <s v="Returned"/>
    <x v="0"/>
  </r>
  <r>
    <s v="INV-26-09-0112"/>
    <x v="21"/>
    <s v="FB004"/>
    <x v="3"/>
    <x v="2"/>
    <s v="C014"/>
    <x v="5"/>
    <x v="5"/>
    <n v="94"/>
    <s v="Tetra Pack"/>
    <n v="25"/>
    <n v="0.03"/>
    <n v="2350"/>
    <n v="2279.5"/>
    <n v="1316"/>
    <n v="963.5"/>
    <x v="3"/>
    <s v="Delivered"/>
    <x v="2"/>
  </r>
  <r>
    <s v="INV-26-09-0113"/>
    <x v="28"/>
    <s v="FB001"/>
    <x v="2"/>
    <x v="1"/>
    <s v="C014"/>
    <x v="5"/>
    <x v="5"/>
    <n v="129"/>
    <s v="Pack"/>
    <n v="20"/>
    <n v="0.03"/>
    <n v="2580"/>
    <n v="2502.6"/>
    <n v="1483.5"/>
    <n v="1019.1"/>
    <x v="3"/>
    <s v="Pending"/>
    <x v="2"/>
  </r>
  <r>
    <s v="INV-26-09-0114"/>
    <x v="24"/>
    <s v="FB006"/>
    <x v="9"/>
    <x v="4"/>
    <s v="C007"/>
    <x v="4"/>
    <x v="4"/>
    <n v="163"/>
    <s v="Pack"/>
    <n v="15"/>
    <n v="0"/>
    <n v="2445"/>
    <n v="2445"/>
    <n v="1385.5"/>
    <n v="1059.5"/>
    <x v="0"/>
    <s v="Returned"/>
    <x v="0"/>
  </r>
  <r>
    <s v="INV-26-09-0115"/>
    <x v="13"/>
    <s v="FB003"/>
    <x v="0"/>
    <x v="0"/>
    <s v="C001"/>
    <x v="8"/>
    <x v="8"/>
    <n v="161"/>
    <s v="Bottle"/>
    <n v="85"/>
    <n v="0"/>
    <n v="13685"/>
    <n v="13685"/>
    <n v="8211"/>
    <n v="5474"/>
    <x v="1"/>
    <s v="Delivered"/>
    <x v="1"/>
  </r>
  <r>
    <s v="INV-26-09-0116"/>
    <x v="5"/>
    <s v="FB009"/>
    <x v="7"/>
    <x v="1"/>
    <s v="C010"/>
    <x v="13"/>
    <x v="12"/>
    <n v="85"/>
    <s v="Pack"/>
    <n v="35"/>
    <n v="0"/>
    <n v="2975"/>
    <n v="2975"/>
    <n v="1700"/>
    <n v="1275"/>
    <x v="3"/>
    <s v="Pending"/>
    <x v="2"/>
  </r>
  <r>
    <s v="INV-26-09-0117"/>
    <x v="9"/>
    <s v="FB003"/>
    <x v="0"/>
    <x v="0"/>
    <s v="C012"/>
    <x v="6"/>
    <x v="6"/>
    <n v="80"/>
    <s v="Bottle"/>
    <n v="85"/>
    <n v="0.02"/>
    <n v="6800"/>
    <n v="6664"/>
    <n v="4080"/>
    <n v="2584"/>
    <x v="2"/>
    <s v="Pending"/>
    <x v="1"/>
  </r>
  <r>
    <s v="INV-26-09-0118"/>
    <x v="0"/>
    <s v="FB005"/>
    <x v="5"/>
    <x v="2"/>
    <s v="C012"/>
    <x v="6"/>
    <x v="6"/>
    <n v="38"/>
    <s v="Tetra Pack"/>
    <n v="25"/>
    <n v="0.05"/>
    <n v="950"/>
    <n v="902.5"/>
    <n v="539.6"/>
    <n v="362.9"/>
    <x v="2"/>
    <s v="Returned"/>
    <x v="0"/>
  </r>
  <r>
    <s v="INV-26-09-0119"/>
    <x v="3"/>
    <s v="FB009"/>
    <x v="7"/>
    <x v="1"/>
    <s v="C005"/>
    <x v="2"/>
    <x v="2"/>
    <n v="194"/>
    <s v="Pack"/>
    <n v="35"/>
    <n v="0.02"/>
    <n v="6790"/>
    <n v="6654.2"/>
    <n v="3880"/>
    <n v="2774.2"/>
    <x v="0"/>
    <s v="Delivered"/>
    <x v="1"/>
  </r>
  <r>
    <s v="INV-26-09-0120"/>
    <x v="28"/>
    <s v="FB006"/>
    <x v="9"/>
    <x v="4"/>
    <s v="C004"/>
    <x v="1"/>
    <x v="1"/>
    <n v="67"/>
    <s v="Pack"/>
    <n v="15"/>
    <n v="0.03"/>
    <n v="1005"/>
    <n v="974.85"/>
    <n v="569.5"/>
    <n v="405.35"/>
    <x v="3"/>
    <s v="Delivered"/>
    <x v="2"/>
  </r>
  <r>
    <s v="INV-26-09-0121"/>
    <x v="20"/>
    <s v="FB009"/>
    <x v="7"/>
    <x v="1"/>
    <s v="C014"/>
    <x v="5"/>
    <x v="5"/>
    <n v="67"/>
    <s v="Pack"/>
    <n v="35"/>
    <n v="0.05"/>
    <n v="2345"/>
    <n v="2227.75"/>
    <n v="1340"/>
    <n v="887.75"/>
    <x v="1"/>
    <s v="Delivered"/>
    <x v="0"/>
  </r>
  <r>
    <s v="INV-26-09-0122"/>
    <x v="17"/>
    <s v="FB006"/>
    <x v="9"/>
    <x v="4"/>
    <s v="C011"/>
    <x v="10"/>
    <x v="9"/>
    <n v="24"/>
    <s v="Pack"/>
    <n v="15"/>
    <n v="0"/>
    <n v="360"/>
    <n v="360"/>
    <n v="204"/>
    <n v="156"/>
    <x v="2"/>
    <s v="Delivered"/>
    <x v="0"/>
  </r>
  <r>
    <s v="INV-26-09-0123"/>
    <x v="15"/>
    <s v="FB004"/>
    <x v="3"/>
    <x v="2"/>
    <s v="C005"/>
    <x v="2"/>
    <x v="2"/>
    <n v="202"/>
    <s v="Tetra Pack"/>
    <n v="25"/>
    <n v="0"/>
    <n v="5050"/>
    <n v="5050"/>
    <n v="2828"/>
    <n v="2222"/>
    <x v="0"/>
    <s v="Pending"/>
    <x v="1"/>
  </r>
  <r>
    <s v="INV-26-09-0124"/>
    <x v="21"/>
    <s v="FB008"/>
    <x v="8"/>
    <x v="3"/>
    <s v="C015"/>
    <x v="9"/>
    <x v="8"/>
    <n v="218"/>
    <s v="Pack"/>
    <n v="20"/>
    <n v="0.05"/>
    <n v="4360"/>
    <n v="4142"/>
    <n v="2398"/>
    <n v="1744"/>
    <x v="0"/>
    <s v="Delivered"/>
    <x v="2"/>
  </r>
  <r>
    <s v="INV-26-09-0125"/>
    <x v="17"/>
    <s v="FB010"/>
    <x v="1"/>
    <x v="1"/>
    <s v="C004"/>
    <x v="1"/>
    <x v="1"/>
    <n v="40"/>
    <s v="Pack"/>
    <n v="50"/>
    <n v="0"/>
    <n v="2000"/>
    <n v="2000"/>
    <n v="1160"/>
    <n v="840"/>
    <x v="2"/>
    <s v="Delivered"/>
    <x v="1"/>
  </r>
  <r>
    <s v="INV-26-09-0126"/>
    <x v="29"/>
    <s v="FB002"/>
    <x v="6"/>
    <x v="1"/>
    <s v="C014"/>
    <x v="5"/>
    <x v="5"/>
    <n v="195"/>
    <s v="Pack"/>
    <n v="20"/>
    <n v="0.05"/>
    <n v="3900"/>
    <n v="3705"/>
    <n v="2301"/>
    <n v="1404"/>
    <x v="3"/>
    <s v="Delivered"/>
    <x v="2"/>
  </r>
  <r>
    <s v="INV-26-09-0127"/>
    <x v="6"/>
    <s v="FB007"/>
    <x v="4"/>
    <x v="3"/>
    <s v="C010"/>
    <x v="13"/>
    <x v="12"/>
    <n v="41"/>
    <s v="Pack"/>
    <n v="40"/>
    <n v="0.02"/>
    <n v="1640"/>
    <n v="1607.2"/>
    <n v="943"/>
    <n v="664.2"/>
    <x v="2"/>
    <s v="Delivered"/>
    <x v="0"/>
  </r>
  <r>
    <s v="INV-26-09-0128"/>
    <x v="12"/>
    <s v="FB005"/>
    <x v="5"/>
    <x v="2"/>
    <s v="C009"/>
    <x v="11"/>
    <x v="10"/>
    <n v="93"/>
    <s v="Tetra Pack"/>
    <n v="25"/>
    <n v="0"/>
    <n v="2325"/>
    <n v="2325"/>
    <n v="1320.6"/>
    <n v="1004.4"/>
    <x v="1"/>
    <s v="Delivered"/>
    <x v="1"/>
  </r>
  <r>
    <s v="INV-26-09-0129"/>
    <x v="23"/>
    <s v="FB010"/>
    <x v="1"/>
    <x v="1"/>
    <s v="C002"/>
    <x v="7"/>
    <x v="7"/>
    <n v="80"/>
    <s v="Pack"/>
    <n v="50"/>
    <n v="0.05"/>
    <n v="4000"/>
    <n v="3800"/>
    <n v="2320"/>
    <n v="1480"/>
    <x v="0"/>
    <s v="Delivered"/>
    <x v="1"/>
  </r>
  <r>
    <s v="INV-26-09-0130"/>
    <x v="5"/>
    <s v="FB001"/>
    <x v="2"/>
    <x v="1"/>
    <s v="C003"/>
    <x v="12"/>
    <x v="11"/>
    <n v="143"/>
    <s v="Pack"/>
    <n v="20"/>
    <n v="0.02"/>
    <n v="2860"/>
    <n v="2802.8"/>
    <n v="1644.5"/>
    <n v="1158.3"/>
    <x v="2"/>
    <s v="Pending"/>
    <x v="2"/>
  </r>
  <r>
    <s v="INV-26-09-0131"/>
    <x v="23"/>
    <s v="FB005"/>
    <x v="5"/>
    <x v="2"/>
    <s v="C012"/>
    <x v="6"/>
    <x v="6"/>
    <n v="90"/>
    <s v="Tetra Pack"/>
    <n v="25"/>
    <n v="0.03"/>
    <n v="2250"/>
    <n v="2182.5"/>
    <n v="1278"/>
    <n v="904.5"/>
    <x v="0"/>
    <s v="Delivered"/>
    <x v="0"/>
  </r>
  <r>
    <s v="INV-26-09-0132"/>
    <x v="11"/>
    <s v="FB008"/>
    <x v="8"/>
    <x v="3"/>
    <s v="C005"/>
    <x v="2"/>
    <x v="2"/>
    <n v="141"/>
    <s v="Pack"/>
    <n v="20"/>
    <n v="0.03"/>
    <n v="2820"/>
    <n v="2735.4"/>
    <n v="1551"/>
    <n v="1184.4000000000001"/>
    <x v="1"/>
    <s v="Delivered"/>
    <x v="1"/>
  </r>
  <r>
    <s v="INV-26-09-0133"/>
    <x v="3"/>
    <s v="FB008"/>
    <x v="8"/>
    <x v="3"/>
    <s v="C008"/>
    <x v="3"/>
    <x v="3"/>
    <n v="15"/>
    <s v="Pack"/>
    <n v="20"/>
    <n v="0"/>
    <n v="300"/>
    <n v="300"/>
    <n v="165"/>
    <n v="135"/>
    <x v="1"/>
    <s v="Delivered"/>
    <x v="1"/>
  </r>
  <r>
    <s v="INV-26-09-0134"/>
    <x v="19"/>
    <s v="FB007"/>
    <x v="4"/>
    <x v="3"/>
    <s v="C008"/>
    <x v="3"/>
    <x v="3"/>
    <n v="118"/>
    <s v="Pack"/>
    <n v="40"/>
    <n v="0.05"/>
    <n v="4720"/>
    <n v="4484"/>
    <n v="2714"/>
    <n v="1770"/>
    <x v="3"/>
    <s v="Delivered"/>
    <x v="2"/>
  </r>
  <r>
    <s v="INV-26-09-0135"/>
    <x v="15"/>
    <s v="FB009"/>
    <x v="7"/>
    <x v="1"/>
    <s v="C010"/>
    <x v="13"/>
    <x v="12"/>
    <n v="119"/>
    <s v="Pack"/>
    <n v="35"/>
    <n v="0.02"/>
    <n v="4165"/>
    <n v="4081.7"/>
    <n v="2380"/>
    <n v="1701.7"/>
    <x v="1"/>
    <s v="Delivered"/>
    <x v="0"/>
  </r>
  <r>
    <s v="INV-26-09-0136"/>
    <x v="21"/>
    <s v="FB006"/>
    <x v="9"/>
    <x v="4"/>
    <s v="C004"/>
    <x v="1"/>
    <x v="1"/>
    <n v="32"/>
    <s v="Pack"/>
    <n v="15"/>
    <n v="0"/>
    <n v="480"/>
    <n v="480"/>
    <n v="272"/>
    <n v="208"/>
    <x v="2"/>
    <s v="Pending"/>
    <x v="1"/>
  </r>
  <r>
    <s v="INV-26-09-0137"/>
    <x v="27"/>
    <s v="FB004"/>
    <x v="3"/>
    <x v="2"/>
    <s v="C015"/>
    <x v="9"/>
    <x v="8"/>
    <n v="95"/>
    <s v="Tetra Pack"/>
    <n v="25"/>
    <n v="0.03"/>
    <n v="2375"/>
    <n v="2303.75"/>
    <n v="1330"/>
    <n v="973.75"/>
    <x v="1"/>
    <s v="Pending"/>
    <x v="1"/>
  </r>
  <r>
    <s v="INV-26-09-0138"/>
    <x v="13"/>
    <s v="FB007"/>
    <x v="4"/>
    <x v="3"/>
    <s v="C015"/>
    <x v="9"/>
    <x v="8"/>
    <n v="149"/>
    <s v="Pack"/>
    <n v="40"/>
    <n v="0.02"/>
    <n v="5960"/>
    <n v="5840.8"/>
    <n v="3427"/>
    <n v="2413.8000000000002"/>
    <x v="2"/>
    <s v="Delivered"/>
    <x v="0"/>
  </r>
  <r>
    <s v="INV-26-09-0139"/>
    <x v="11"/>
    <s v="FB010"/>
    <x v="1"/>
    <x v="1"/>
    <s v="C010"/>
    <x v="13"/>
    <x v="12"/>
    <n v="127"/>
    <s v="Pack"/>
    <n v="50"/>
    <n v="0.05"/>
    <n v="6350"/>
    <n v="6032.5"/>
    <n v="3683"/>
    <n v="2349.5"/>
    <x v="1"/>
    <s v="Delivered"/>
    <x v="1"/>
  </r>
  <r>
    <s v="INV-26-09-0140"/>
    <x v="16"/>
    <s v="FB001"/>
    <x v="2"/>
    <x v="1"/>
    <s v="C007"/>
    <x v="4"/>
    <x v="4"/>
    <n v="214"/>
    <s v="Pack"/>
    <n v="20"/>
    <n v="0"/>
    <n v="4280"/>
    <n v="4280"/>
    <n v="2461"/>
    <n v="1819"/>
    <x v="1"/>
    <s v="Pending"/>
    <x v="2"/>
  </r>
  <r>
    <s v="INV-26-09-0141"/>
    <x v="17"/>
    <s v="FB004"/>
    <x v="3"/>
    <x v="2"/>
    <s v="C006"/>
    <x v="14"/>
    <x v="13"/>
    <n v="97"/>
    <s v="Tetra Pack"/>
    <n v="25"/>
    <n v="0.03"/>
    <n v="2425"/>
    <n v="2352.25"/>
    <n v="1358"/>
    <n v="994.25"/>
    <x v="1"/>
    <s v="Delivered"/>
    <x v="2"/>
  </r>
  <r>
    <s v="INV-26-09-0142"/>
    <x v="4"/>
    <s v="FB009"/>
    <x v="7"/>
    <x v="1"/>
    <s v="C010"/>
    <x v="13"/>
    <x v="12"/>
    <n v="66"/>
    <s v="Pack"/>
    <n v="35"/>
    <n v="0"/>
    <n v="2310"/>
    <n v="2310"/>
    <n v="1320"/>
    <n v="990"/>
    <x v="2"/>
    <s v="Pending"/>
    <x v="0"/>
  </r>
  <r>
    <s v="INV-26-09-0143"/>
    <x v="28"/>
    <s v="FB008"/>
    <x v="8"/>
    <x v="3"/>
    <s v="C014"/>
    <x v="5"/>
    <x v="5"/>
    <n v="217"/>
    <s v="Pack"/>
    <n v="20"/>
    <n v="0.05"/>
    <n v="4340"/>
    <n v="4123"/>
    <n v="2387"/>
    <n v="1736"/>
    <x v="0"/>
    <s v="Delivered"/>
    <x v="2"/>
  </r>
  <r>
    <s v="INV-26-09-0144"/>
    <x v="1"/>
    <s v="FB006"/>
    <x v="9"/>
    <x v="4"/>
    <s v="C008"/>
    <x v="3"/>
    <x v="3"/>
    <n v="83"/>
    <s v="Pack"/>
    <n v="15"/>
    <n v="0.03"/>
    <n v="1245"/>
    <n v="1207.6500000000001"/>
    <n v="705.5"/>
    <n v="502.15"/>
    <x v="2"/>
    <s v="Delivered"/>
    <x v="2"/>
  </r>
  <r>
    <s v="INV-26-09-0145"/>
    <x v="18"/>
    <s v="FB008"/>
    <x v="8"/>
    <x v="3"/>
    <s v="C008"/>
    <x v="3"/>
    <x v="3"/>
    <n v="173"/>
    <s v="Pack"/>
    <n v="20"/>
    <n v="0.05"/>
    <n v="3460"/>
    <n v="3287"/>
    <n v="1903"/>
    <n v="1384"/>
    <x v="3"/>
    <s v="Delivered"/>
    <x v="1"/>
  </r>
  <r>
    <s v="INV-26-09-0146"/>
    <x v="3"/>
    <s v="FB008"/>
    <x v="8"/>
    <x v="3"/>
    <s v="C011"/>
    <x v="10"/>
    <x v="9"/>
    <n v="156"/>
    <s v="Pack"/>
    <n v="20"/>
    <n v="0.02"/>
    <n v="3120"/>
    <n v="3057.6"/>
    <n v="1716"/>
    <n v="1341.6"/>
    <x v="0"/>
    <s v="Pending"/>
    <x v="2"/>
  </r>
  <r>
    <s v="INV-26-09-0147"/>
    <x v="24"/>
    <s v="FB003"/>
    <x v="0"/>
    <x v="0"/>
    <s v="C002"/>
    <x v="7"/>
    <x v="7"/>
    <n v="146"/>
    <s v="Bottle"/>
    <n v="85"/>
    <n v="0.02"/>
    <n v="12410"/>
    <n v="12161.8"/>
    <n v="7446"/>
    <n v="4715.8"/>
    <x v="0"/>
    <s v="Delivered"/>
    <x v="2"/>
  </r>
  <r>
    <s v="INV-26-09-0148"/>
    <x v="29"/>
    <s v="FB003"/>
    <x v="0"/>
    <x v="0"/>
    <s v="C001"/>
    <x v="8"/>
    <x v="8"/>
    <n v="54"/>
    <s v="Bottle"/>
    <n v="85"/>
    <n v="0"/>
    <n v="4590"/>
    <n v="4590"/>
    <n v="2754"/>
    <n v="1836"/>
    <x v="3"/>
    <s v="Delivered"/>
    <x v="2"/>
  </r>
  <r>
    <s v="INV-26-09-0149"/>
    <x v="0"/>
    <s v="FB005"/>
    <x v="5"/>
    <x v="2"/>
    <s v="C003"/>
    <x v="12"/>
    <x v="11"/>
    <n v="161"/>
    <s v="Tetra Pack"/>
    <n v="25"/>
    <n v="0.05"/>
    <n v="4025"/>
    <n v="3823.75"/>
    <n v="2286.1999999999998"/>
    <n v="1537.55"/>
    <x v="1"/>
    <s v="Delivered"/>
    <x v="0"/>
  </r>
  <r>
    <s v="INV-26-09-0150"/>
    <x v="16"/>
    <s v="FB010"/>
    <x v="1"/>
    <x v="1"/>
    <s v="C002"/>
    <x v="7"/>
    <x v="7"/>
    <n v="152"/>
    <s v="Pack"/>
    <n v="50"/>
    <n v="0"/>
    <n v="7600"/>
    <n v="7600"/>
    <n v="4408"/>
    <n v="3192"/>
    <x v="0"/>
    <s v="Delivered"/>
    <x v="1"/>
  </r>
  <r>
    <s v="INV-26-09-0151"/>
    <x v="28"/>
    <s v="FB007"/>
    <x v="4"/>
    <x v="3"/>
    <s v="C008"/>
    <x v="3"/>
    <x v="3"/>
    <n v="69"/>
    <s v="Pack"/>
    <n v="40"/>
    <n v="0"/>
    <n v="2760"/>
    <n v="2760"/>
    <n v="1587"/>
    <n v="1173"/>
    <x v="2"/>
    <s v="Delivered"/>
    <x v="1"/>
  </r>
  <r>
    <s v="INV-26-09-0152"/>
    <x v="25"/>
    <s v="FB006"/>
    <x v="9"/>
    <x v="4"/>
    <s v="C010"/>
    <x v="13"/>
    <x v="12"/>
    <n v="188"/>
    <s v="Pack"/>
    <n v="15"/>
    <n v="0.03"/>
    <n v="2820"/>
    <n v="2735.4"/>
    <n v="1598"/>
    <n v="1137.4000000000001"/>
    <x v="1"/>
    <s v="Delivered"/>
    <x v="2"/>
  </r>
  <r>
    <s v="INV-26-09-0153"/>
    <x v="1"/>
    <s v="FB005"/>
    <x v="5"/>
    <x v="2"/>
    <s v="C007"/>
    <x v="4"/>
    <x v="4"/>
    <n v="86"/>
    <s v="Tetra Pack"/>
    <n v="25"/>
    <n v="0"/>
    <n v="2150"/>
    <n v="2150"/>
    <n v="1221.2"/>
    <n v="928.8"/>
    <x v="0"/>
    <s v="Pending"/>
    <x v="1"/>
  </r>
  <r>
    <s v="INV-26-09-0154"/>
    <x v="19"/>
    <s v="FB008"/>
    <x v="8"/>
    <x v="3"/>
    <s v="C006"/>
    <x v="14"/>
    <x v="13"/>
    <n v="148"/>
    <s v="Pack"/>
    <n v="20"/>
    <n v="0"/>
    <n v="2960"/>
    <n v="2960"/>
    <n v="1628"/>
    <n v="1332"/>
    <x v="1"/>
    <s v="Returned"/>
    <x v="2"/>
  </r>
  <r>
    <s v="INV-26-09-0155"/>
    <x v="10"/>
    <s v="FB008"/>
    <x v="8"/>
    <x v="3"/>
    <s v="C008"/>
    <x v="3"/>
    <x v="3"/>
    <n v="38"/>
    <s v="Pack"/>
    <n v="20"/>
    <n v="0.02"/>
    <n v="760"/>
    <n v="744.8"/>
    <n v="418"/>
    <n v="326.8"/>
    <x v="2"/>
    <s v="Returned"/>
    <x v="2"/>
  </r>
  <r>
    <s v="INV-26-09-0156"/>
    <x v="21"/>
    <s v="FB005"/>
    <x v="5"/>
    <x v="2"/>
    <s v="C010"/>
    <x v="13"/>
    <x v="12"/>
    <n v="53"/>
    <s v="Tetra Pack"/>
    <n v="25"/>
    <n v="0"/>
    <n v="1325"/>
    <n v="1325"/>
    <n v="752.6"/>
    <n v="572.4"/>
    <x v="0"/>
    <s v="Delivered"/>
    <x v="2"/>
  </r>
  <r>
    <s v="INV-26-09-0157"/>
    <x v="7"/>
    <s v="FB005"/>
    <x v="5"/>
    <x v="2"/>
    <s v="C006"/>
    <x v="14"/>
    <x v="13"/>
    <n v="59"/>
    <s v="Tetra Pack"/>
    <n v="25"/>
    <n v="0"/>
    <n v="1475"/>
    <n v="1475"/>
    <n v="837.8"/>
    <n v="637.20000000000005"/>
    <x v="3"/>
    <s v="Delivered"/>
    <x v="1"/>
  </r>
  <r>
    <s v="INV-26-09-0158"/>
    <x v="4"/>
    <s v="FB003"/>
    <x v="0"/>
    <x v="0"/>
    <s v="C007"/>
    <x v="4"/>
    <x v="4"/>
    <n v="195"/>
    <s v="Bottle"/>
    <n v="85"/>
    <n v="0"/>
    <n v="16575"/>
    <n v="16575"/>
    <n v="9945"/>
    <n v="6630"/>
    <x v="1"/>
    <s v="Pending"/>
    <x v="1"/>
  </r>
  <r>
    <s v="INV-26-09-0159"/>
    <x v="20"/>
    <s v="FB002"/>
    <x v="6"/>
    <x v="1"/>
    <s v="C008"/>
    <x v="3"/>
    <x v="3"/>
    <n v="133"/>
    <s v="Pack"/>
    <n v="20"/>
    <n v="0"/>
    <n v="2660"/>
    <n v="2660"/>
    <n v="1569.4"/>
    <n v="1090.5999999999999"/>
    <x v="1"/>
    <s v="Pending"/>
    <x v="2"/>
  </r>
  <r>
    <s v="INV-26-09-0160"/>
    <x v="20"/>
    <s v="FB010"/>
    <x v="1"/>
    <x v="1"/>
    <s v="C014"/>
    <x v="5"/>
    <x v="5"/>
    <n v="116"/>
    <s v="Pack"/>
    <n v="50"/>
    <n v="0"/>
    <n v="5800"/>
    <n v="5800"/>
    <n v="3364"/>
    <n v="2436"/>
    <x v="0"/>
    <s v="Pending"/>
    <x v="2"/>
  </r>
  <r>
    <s v="INV-26-09-0161"/>
    <x v="22"/>
    <s v="FB008"/>
    <x v="8"/>
    <x v="3"/>
    <s v="C013"/>
    <x v="0"/>
    <x v="0"/>
    <n v="220"/>
    <s v="Pack"/>
    <n v="20"/>
    <n v="0.05"/>
    <n v="4400"/>
    <n v="4180"/>
    <n v="2420"/>
    <n v="1760"/>
    <x v="2"/>
    <s v="Delivered"/>
    <x v="2"/>
  </r>
  <r>
    <s v="INV-26-09-0162"/>
    <x v="22"/>
    <s v="FB009"/>
    <x v="7"/>
    <x v="1"/>
    <s v="C003"/>
    <x v="12"/>
    <x v="11"/>
    <n v="195"/>
    <s v="Pack"/>
    <n v="35"/>
    <n v="0"/>
    <n v="6825"/>
    <n v="6825"/>
    <n v="3900"/>
    <n v="2925"/>
    <x v="1"/>
    <s v="Delivered"/>
    <x v="1"/>
  </r>
  <r>
    <s v="INV-26-09-0163"/>
    <x v="6"/>
    <s v="FB003"/>
    <x v="0"/>
    <x v="0"/>
    <s v="C011"/>
    <x v="10"/>
    <x v="9"/>
    <n v="118"/>
    <s v="Bottle"/>
    <n v="85"/>
    <n v="0"/>
    <n v="10030"/>
    <n v="10030"/>
    <n v="6018"/>
    <n v="4012"/>
    <x v="1"/>
    <s v="Delivered"/>
    <x v="1"/>
  </r>
  <r>
    <s v="INV-26-09-0164"/>
    <x v="7"/>
    <s v="FB010"/>
    <x v="1"/>
    <x v="1"/>
    <s v="C013"/>
    <x v="0"/>
    <x v="0"/>
    <n v="52"/>
    <s v="Pack"/>
    <n v="50"/>
    <n v="0.03"/>
    <n v="2600"/>
    <n v="2522"/>
    <n v="1508"/>
    <n v="1014"/>
    <x v="3"/>
    <s v="Delivered"/>
    <x v="2"/>
  </r>
  <r>
    <s v="INV-26-09-0165"/>
    <x v="25"/>
    <s v="FB007"/>
    <x v="4"/>
    <x v="3"/>
    <s v="C011"/>
    <x v="10"/>
    <x v="9"/>
    <n v="91"/>
    <s v="Pack"/>
    <n v="40"/>
    <n v="0.03"/>
    <n v="3640"/>
    <n v="3530.8"/>
    <n v="2093"/>
    <n v="1437.8"/>
    <x v="2"/>
    <s v="Delivered"/>
    <x v="2"/>
  </r>
  <r>
    <s v="INV-26-09-0166"/>
    <x v="3"/>
    <s v="FB008"/>
    <x v="8"/>
    <x v="3"/>
    <s v="C014"/>
    <x v="5"/>
    <x v="5"/>
    <n v="139"/>
    <s v="Pack"/>
    <n v="20"/>
    <n v="0"/>
    <n v="2780"/>
    <n v="2780"/>
    <n v="1529"/>
    <n v="1251"/>
    <x v="2"/>
    <s v="Delivered"/>
    <x v="2"/>
  </r>
  <r>
    <s v="INV-26-09-0167"/>
    <x v="0"/>
    <s v="FB005"/>
    <x v="5"/>
    <x v="2"/>
    <s v="C012"/>
    <x v="6"/>
    <x v="6"/>
    <n v="53"/>
    <s v="Tetra Pack"/>
    <n v="25"/>
    <n v="0.05"/>
    <n v="1325"/>
    <n v="1258.75"/>
    <n v="752.6"/>
    <n v="506.15"/>
    <x v="2"/>
    <s v="Delivered"/>
    <x v="0"/>
  </r>
  <r>
    <s v="INV-26-09-0168"/>
    <x v="14"/>
    <s v="FB003"/>
    <x v="0"/>
    <x v="0"/>
    <s v="C006"/>
    <x v="14"/>
    <x v="13"/>
    <n v="191"/>
    <s v="Bottle"/>
    <n v="85"/>
    <n v="0.02"/>
    <n v="16235"/>
    <n v="15910.3"/>
    <n v="9741"/>
    <n v="6169.3"/>
    <x v="3"/>
    <s v="Delivered"/>
    <x v="1"/>
  </r>
  <r>
    <s v="INV-26-09-0169"/>
    <x v="21"/>
    <s v="FB004"/>
    <x v="3"/>
    <x v="2"/>
    <s v="C001"/>
    <x v="8"/>
    <x v="8"/>
    <n v="210"/>
    <s v="Tetra Pack"/>
    <n v="25"/>
    <n v="0.05"/>
    <n v="5250"/>
    <n v="4987.5"/>
    <n v="2940"/>
    <n v="2047.5"/>
    <x v="1"/>
    <s v="Delivered"/>
    <x v="2"/>
  </r>
  <r>
    <s v="INV-26-09-0170"/>
    <x v="10"/>
    <s v="FB004"/>
    <x v="3"/>
    <x v="2"/>
    <s v="C014"/>
    <x v="5"/>
    <x v="5"/>
    <n v="100"/>
    <s v="Tetra Pack"/>
    <n v="25"/>
    <n v="0.02"/>
    <n v="2500"/>
    <n v="2450"/>
    <n v="1400"/>
    <n v="1050"/>
    <x v="2"/>
    <s v="Delivered"/>
    <x v="1"/>
  </r>
  <r>
    <s v="INV-26-09-0171"/>
    <x v="21"/>
    <s v="FB004"/>
    <x v="3"/>
    <x v="2"/>
    <s v="C012"/>
    <x v="6"/>
    <x v="6"/>
    <n v="164"/>
    <s v="Tetra Pack"/>
    <n v="25"/>
    <n v="0.05"/>
    <n v="4100"/>
    <n v="3895"/>
    <n v="2296"/>
    <n v="1599"/>
    <x v="1"/>
    <s v="Returned"/>
    <x v="0"/>
  </r>
  <r>
    <s v="INV-26-09-0172"/>
    <x v="8"/>
    <s v="FB007"/>
    <x v="4"/>
    <x v="3"/>
    <s v="C013"/>
    <x v="0"/>
    <x v="0"/>
    <n v="109"/>
    <s v="Pack"/>
    <n v="40"/>
    <n v="0.05"/>
    <n v="4360"/>
    <n v="4142"/>
    <n v="2507"/>
    <n v="1635"/>
    <x v="0"/>
    <s v="Returned"/>
    <x v="1"/>
  </r>
  <r>
    <s v="INV-26-09-0173"/>
    <x v="11"/>
    <s v="FB001"/>
    <x v="2"/>
    <x v="1"/>
    <s v="C005"/>
    <x v="2"/>
    <x v="2"/>
    <n v="135"/>
    <s v="Pack"/>
    <n v="20"/>
    <n v="0.03"/>
    <n v="2700"/>
    <n v="2619"/>
    <n v="1552.5"/>
    <n v="1066.5"/>
    <x v="1"/>
    <s v="Delivered"/>
    <x v="2"/>
  </r>
  <r>
    <s v="INV-26-09-0174"/>
    <x v="29"/>
    <s v="FB004"/>
    <x v="3"/>
    <x v="2"/>
    <s v="C008"/>
    <x v="3"/>
    <x v="3"/>
    <n v="202"/>
    <s v="Tetra Pack"/>
    <n v="25"/>
    <n v="0"/>
    <n v="5050"/>
    <n v="5050"/>
    <n v="2828"/>
    <n v="2222"/>
    <x v="3"/>
    <s v="Returned"/>
    <x v="2"/>
  </r>
  <r>
    <s v="INV-26-09-0175"/>
    <x v="17"/>
    <s v="FB009"/>
    <x v="7"/>
    <x v="1"/>
    <s v="C014"/>
    <x v="5"/>
    <x v="5"/>
    <n v="53"/>
    <s v="Pack"/>
    <n v="35"/>
    <n v="0.05"/>
    <n v="1855"/>
    <n v="1762.25"/>
    <n v="1060"/>
    <n v="702.25"/>
    <x v="1"/>
    <s v="Delivered"/>
    <x v="1"/>
  </r>
  <r>
    <s v="INV-26-09-0176"/>
    <x v="19"/>
    <s v="FB003"/>
    <x v="0"/>
    <x v="0"/>
    <s v="C006"/>
    <x v="14"/>
    <x v="13"/>
    <n v="111"/>
    <s v="Bottle"/>
    <n v="85"/>
    <n v="0.03"/>
    <n v="9435"/>
    <n v="9151.9500000000007"/>
    <n v="5661"/>
    <n v="3490.95"/>
    <x v="3"/>
    <s v="Returned"/>
    <x v="2"/>
  </r>
  <r>
    <s v="INV-26-09-0177"/>
    <x v="20"/>
    <s v="FB010"/>
    <x v="1"/>
    <x v="1"/>
    <s v="C015"/>
    <x v="9"/>
    <x v="8"/>
    <n v="151"/>
    <s v="Pack"/>
    <n v="50"/>
    <n v="0.03"/>
    <n v="7550"/>
    <n v="7323.5"/>
    <n v="4379"/>
    <n v="2944.5"/>
    <x v="3"/>
    <s v="Delivered"/>
    <x v="1"/>
  </r>
  <r>
    <s v="INV-26-09-0178"/>
    <x v="10"/>
    <s v="FB003"/>
    <x v="0"/>
    <x v="0"/>
    <s v="C010"/>
    <x v="13"/>
    <x v="12"/>
    <n v="215"/>
    <s v="Bottle"/>
    <n v="85"/>
    <n v="0.03"/>
    <n v="18275"/>
    <n v="17726.75"/>
    <n v="10965"/>
    <n v="6761.75"/>
    <x v="0"/>
    <s v="Returned"/>
    <x v="0"/>
  </r>
  <r>
    <s v="INV-26-09-0179"/>
    <x v="27"/>
    <s v="FB007"/>
    <x v="4"/>
    <x v="3"/>
    <s v="C008"/>
    <x v="3"/>
    <x v="3"/>
    <n v="80"/>
    <s v="Pack"/>
    <n v="40"/>
    <n v="0.05"/>
    <n v="3200"/>
    <n v="3040"/>
    <n v="1840"/>
    <n v="1200"/>
    <x v="0"/>
    <s v="Delivered"/>
    <x v="2"/>
  </r>
  <r>
    <s v="INV-26-09-0180"/>
    <x v="14"/>
    <s v="FB005"/>
    <x v="5"/>
    <x v="2"/>
    <s v="C003"/>
    <x v="12"/>
    <x v="11"/>
    <n v="111"/>
    <s v="Tetra Pack"/>
    <n v="25"/>
    <n v="0.03"/>
    <n v="2775"/>
    <n v="2691.75"/>
    <n v="1576.2"/>
    <n v="1115.55"/>
    <x v="2"/>
    <s v="Returned"/>
    <x v="1"/>
  </r>
  <r>
    <s v="INV-26-09-0181"/>
    <x v="9"/>
    <s v="FB003"/>
    <x v="0"/>
    <x v="0"/>
    <s v="C005"/>
    <x v="2"/>
    <x v="2"/>
    <n v="59"/>
    <s v="Bottle"/>
    <n v="85"/>
    <n v="0"/>
    <n v="5015"/>
    <n v="5015"/>
    <n v="3009"/>
    <n v="2006"/>
    <x v="1"/>
    <s v="Delivered"/>
    <x v="0"/>
  </r>
  <r>
    <s v="INV-26-09-0182"/>
    <x v="17"/>
    <s v="FB010"/>
    <x v="1"/>
    <x v="1"/>
    <s v="C014"/>
    <x v="5"/>
    <x v="5"/>
    <n v="55"/>
    <s v="Pack"/>
    <n v="50"/>
    <n v="0"/>
    <n v="2750"/>
    <n v="2750"/>
    <n v="1595"/>
    <n v="1155"/>
    <x v="0"/>
    <s v="Pending"/>
    <x v="2"/>
  </r>
  <r>
    <s v="INV-26-09-0183"/>
    <x v="18"/>
    <s v="FB010"/>
    <x v="1"/>
    <x v="1"/>
    <s v="C009"/>
    <x v="11"/>
    <x v="10"/>
    <n v="186"/>
    <s v="Pack"/>
    <n v="50"/>
    <n v="0.03"/>
    <n v="9300"/>
    <n v="9021"/>
    <n v="5394"/>
    <n v="3627"/>
    <x v="2"/>
    <s v="Delivered"/>
    <x v="0"/>
  </r>
  <r>
    <s v="INV-26-09-0184"/>
    <x v="5"/>
    <s v="FB010"/>
    <x v="1"/>
    <x v="1"/>
    <s v="C012"/>
    <x v="6"/>
    <x v="6"/>
    <n v="180"/>
    <s v="Pack"/>
    <n v="50"/>
    <n v="0.02"/>
    <n v="9000"/>
    <n v="8820"/>
    <n v="5220"/>
    <n v="3600"/>
    <x v="0"/>
    <s v="Returned"/>
    <x v="0"/>
  </r>
  <r>
    <s v="INV-26-09-0185"/>
    <x v="12"/>
    <s v="FB002"/>
    <x v="6"/>
    <x v="1"/>
    <s v="C007"/>
    <x v="4"/>
    <x v="4"/>
    <n v="130"/>
    <s v="Pack"/>
    <n v="20"/>
    <n v="0.05"/>
    <n v="2600"/>
    <n v="2470"/>
    <n v="1534"/>
    <n v="936"/>
    <x v="0"/>
    <s v="Returned"/>
    <x v="0"/>
  </r>
  <r>
    <s v="INV-26-09-0186"/>
    <x v="18"/>
    <s v="FB006"/>
    <x v="9"/>
    <x v="4"/>
    <s v="C015"/>
    <x v="9"/>
    <x v="8"/>
    <n v="67"/>
    <s v="Pack"/>
    <n v="15"/>
    <n v="0"/>
    <n v="1005"/>
    <n v="1005"/>
    <n v="569.5"/>
    <n v="435.5"/>
    <x v="1"/>
    <s v="Pending"/>
    <x v="0"/>
  </r>
  <r>
    <s v="INV-26-09-0187"/>
    <x v="0"/>
    <s v="FB001"/>
    <x v="2"/>
    <x v="1"/>
    <s v="C003"/>
    <x v="12"/>
    <x v="11"/>
    <n v="30"/>
    <s v="Pack"/>
    <n v="20"/>
    <n v="0"/>
    <n v="600"/>
    <n v="600"/>
    <n v="345"/>
    <n v="255"/>
    <x v="0"/>
    <s v="Delivered"/>
    <x v="1"/>
  </r>
  <r>
    <s v="INV-26-09-0188"/>
    <x v="29"/>
    <s v="FB001"/>
    <x v="2"/>
    <x v="1"/>
    <s v="C010"/>
    <x v="13"/>
    <x v="12"/>
    <n v="111"/>
    <s v="Pack"/>
    <n v="20"/>
    <n v="0.02"/>
    <n v="2220"/>
    <n v="2175.6"/>
    <n v="1276.5"/>
    <n v="899.1"/>
    <x v="2"/>
    <s v="Delivered"/>
    <x v="2"/>
  </r>
  <r>
    <s v="INV-26-09-0189"/>
    <x v="17"/>
    <s v="FB004"/>
    <x v="3"/>
    <x v="2"/>
    <s v="C005"/>
    <x v="2"/>
    <x v="2"/>
    <n v="27"/>
    <s v="Tetra Pack"/>
    <n v="25"/>
    <n v="0"/>
    <n v="675"/>
    <n v="675"/>
    <n v="378"/>
    <n v="297"/>
    <x v="3"/>
    <s v="Delivered"/>
    <x v="2"/>
  </r>
  <r>
    <s v="INV-26-09-0190"/>
    <x v="15"/>
    <s v="FB003"/>
    <x v="0"/>
    <x v="0"/>
    <s v="C007"/>
    <x v="4"/>
    <x v="4"/>
    <n v="79"/>
    <s v="Bottle"/>
    <n v="85"/>
    <n v="0"/>
    <n v="6715"/>
    <n v="6715"/>
    <n v="4029"/>
    <n v="2686"/>
    <x v="0"/>
    <s v="Delivered"/>
    <x v="1"/>
  </r>
  <r>
    <s v="INV-26-09-0191"/>
    <x v="4"/>
    <s v="FB005"/>
    <x v="5"/>
    <x v="2"/>
    <s v="C002"/>
    <x v="7"/>
    <x v="7"/>
    <n v="210"/>
    <s v="Tetra Pack"/>
    <n v="25"/>
    <n v="0.05"/>
    <n v="5250"/>
    <n v="4987.5"/>
    <n v="2982"/>
    <n v="2005.5"/>
    <x v="3"/>
    <s v="Delivered"/>
    <x v="0"/>
  </r>
  <r>
    <s v="INV-26-09-0192"/>
    <x v="23"/>
    <s v="FB003"/>
    <x v="0"/>
    <x v="0"/>
    <s v="C005"/>
    <x v="2"/>
    <x v="2"/>
    <n v="37"/>
    <s v="Bottle"/>
    <n v="85"/>
    <n v="0.03"/>
    <n v="3145"/>
    <n v="3050.65"/>
    <n v="1887"/>
    <n v="1163.6500000000001"/>
    <x v="0"/>
    <s v="Delivered"/>
    <x v="0"/>
  </r>
  <r>
    <s v="INV-26-09-0193"/>
    <x v="6"/>
    <s v="FB009"/>
    <x v="7"/>
    <x v="1"/>
    <s v="C007"/>
    <x v="4"/>
    <x v="4"/>
    <n v="137"/>
    <s v="Pack"/>
    <n v="35"/>
    <n v="0"/>
    <n v="4795"/>
    <n v="4795"/>
    <n v="2740"/>
    <n v="2055"/>
    <x v="1"/>
    <s v="Delivered"/>
    <x v="1"/>
  </r>
  <r>
    <s v="INV-26-09-0194"/>
    <x v="10"/>
    <s v="FB006"/>
    <x v="9"/>
    <x v="4"/>
    <s v="C006"/>
    <x v="14"/>
    <x v="13"/>
    <n v="207"/>
    <s v="Pack"/>
    <n v="15"/>
    <n v="0"/>
    <n v="3105"/>
    <n v="3105"/>
    <n v="1759.5"/>
    <n v="1345.5"/>
    <x v="0"/>
    <s v="Pending"/>
    <x v="2"/>
  </r>
  <r>
    <s v="INV-26-09-0195"/>
    <x v="0"/>
    <s v="FB006"/>
    <x v="9"/>
    <x v="4"/>
    <s v="C001"/>
    <x v="8"/>
    <x v="8"/>
    <n v="192"/>
    <s v="Pack"/>
    <n v="15"/>
    <n v="0.05"/>
    <n v="2880"/>
    <n v="2736"/>
    <n v="1632"/>
    <n v="1104"/>
    <x v="1"/>
    <s v="Delivered"/>
    <x v="0"/>
  </r>
  <r>
    <s v="INV-26-09-0196"/>
    <x v="11"/>
    <s v="FB008"/>
    <x v="8"/>
    <x v="3"/>
    <s v="C012"/>
    <x v="6"/>
    <x v="6"/>
    <n v="155"/>
    <s v="Pack"/>
    <n v="20"/>
    <n v="0"/>
    <n v="3100"/>
    <n v="3100"/>
    <n v="1705"/>
    <n v="1395"/>
    <x v="1"/>
    <s v="Delivered"/>
    <x v="0"/>
  </r>
  <r>
    <s v="INV-26-09-0197"/>
    <x v="6"/>
    <s v="FB009"/>
    <x v="7"/>
    <x v="1"/>
    <s v="C008"/>
    <x v="3"/>
    <x v="3"/>
    <n v="107"/>
    <s v="Pack"/>
    <n v="35"/>
    <n v="0"/>
    <n v="3745"/>
    <n v="3745"/>
    <n v="2140"/>
    <n v="1605"/>
    <x v="0"/>
    <s v="Delivered"/>
    <x v="2"/>
  </r>
  <r>
    <s v="INV-26-09-0198"/>
    <x v="4"/>
    <s v="FB006"/>
    <x v="9"/>
    <x v="4"/>
    <s v="C003"/>
    <x v="12"/>
    <x v="11"/>
    <n v="30"/>
    <s v="Pack"/>
    <n v="15"/>
    <n v="0.02"/>
    <n v="450"/>
    <n v="441"/>
    <n v="255"/>
    <n v="186"/>
    <x v="0"/>
    <s v="Returned"/>
    <x v="1"/>
  </r>
  <r>
    <s v="INV-26-09-0199"/>
    <x v="27"/>
    <s v="FB006"/>
    <x v="9"/>
    <x v="4"/>
    <s v="C001"/>
    <x v="8"/>
    <x v="8"/>
    <n v="17"/>
    <s v="Pack"/>
    <n v="15"/>
    <n v="0.03"/>
    <n v="255"/>
    <n v="247.35"/>
    <n v="144.5"/>
    <n v="102.85"/>
    <x v="3"/>
    <s v="Returned"/>
    <x v="0"/>
  </r>
  <r>
    <s v="INV-26-09-0200"/>
    <x v="17"/>
    <s v="FB002"/>
    <x v="6"/>
    <x v="1"/>
    <s v="C007"/>
    <x v="4"/>
    <x v="4"/>
    <n v="184"/>
    <s v="Pack"/>
    <n v="20"/>
    <n v="0"/>
    <n v="3680"/>
    <n v="3680"/>
    <n v="2171.1999999999998"/>
    <n v="1508.8"/>
    <x v="1"/>
    <s v="Delivered"/>
    <x v="0"/>
  </r>
  <r>
    <s v="INV-26-09-0201"/>
    <x v="19"/>
    <s v="FB003"/>
    <x v="0"/>
    <x v="0"/>
    <s v="C014"/>
    <x v="5"/>
    <x v="5"/>
    <n v="102"/>
    <s v="Bottle"/>
    <n v="85"/>
    <n v="0.03"/>
    <n v="8670"/>
    <n v="8409.9"/>
    <n v="5202"/>
    <n v="3207.9"/>
    <x v="0"/>
    <s v="Delivered"/>
    <x v="0"/>
  </r>
  <r>
    <s v="INV-26-09-0202"/>
    <x v="0"/>
    <s v="FB009"/>
    <x v="7"/>
    <x v="1"/>
    <s v="C012"/>
    <x v="6"/>
    <x v="6"/>
    <n v="85"/>
    <s v="Pack"/>
    <n v="35"/>
    <n v="0.02"/>
    <n v="2975"/>
    <n v="2915.5"/>
    <n v="1700"/>
    <n v="1215.5"/>
    <x v="3"/>
    <s v="Delivered"/>
    <x v="0"/>
  </r>
  <r>
    <s v="INV-26-09-0203"/>
    <x v="24"/>
    <s v="FB004"/>
    <x v="3"/>
    <x v="2"/>
    <s v="C014"/>
    <x v="5"/>
    <x v="5"/>
    <n v="28"/>
    <s v="Tetra Pack"/>
    <n v="25"/>
    <n v="0"/>
    <n v="700"/>
    <n v="700"/>
    <n v="392"/>
    <n v="308"/>
    <x v="1"/>
    <s v="Delivered"/>
    <x v="2"/>
  </r>
  <r>
    <s v="INV-26-09-0204"/>
    <x v="25"/>
    <s v="FB006"/>
    <x v="9"/>
    <x v="4"/>
    <s v="C006"/>
    <x v="14"/>
    <x v="13"/>
    <n v="166"/>
    <s v="Pack"/>
    <n v="15"/>
    <n v="0"/>
    <n v="2490"/>
    <n v="2490"/>
    <n v="1411"/>
    <n v="1079"/>
    <x v="2"/>
    <s v="Pending"/>
    <x v="2"/>
  </r>
  <r>
    <s v="INV-26-09-0205"/>
    <x v="4"/>
    <s v="FB009"/>
    <x v="7"/>
    <x v="1"/>
    <s v="C015"/>
    <x v="9"/>
    <x v="8"/>
    <n v="208"/>
    <s v="Pack"/>
    <n v="35"/>
    <n v="0"/>
    <n v="7280"/>
    <n v="7280"/>
    <n v="4160"/>
    <n v="3120"/>
    <x v="1"/>
    <s v="Pending"/>
    <x v="0"/>
  </r>
  <r>
    <s v="INV-26-09-0206"/>
    <x v="24"/>
    <s v="FB010"/>
    <x v="1"/>
    <x v="1"/>
    <s v="C015"/>
    <x v="9"/>
    <x v="8"/>
    <n v="147"/>
    <s v="Pack"/>
    <n v="50"/>
    <n v="0"/>
    <n v="7350"/>
    <n v="7350"/>
    <n v="4263"/>
    <n v="3087"/>
    <x v="2"/>
    <s v="Delivered"/>
    <x v="2"/>
  </r>
  <r>
    <s v="INV-26-09-0207"/>
    <x v="19"/>
    <s v="FB006"/>
    <x v="9"/>
    <x v="4"/>
    <s v="C005"/>
    <x v="2"/>
    <x v="2"/>
    <n v="102"/>
    <s v="Pack"/>
    <n v="15"/>
    <n v="0.03"/>
    <n v="1530"/>
    <n v="1484.1"/>
    <n v="867"/>
    <n v="617.1"/>
    <x v="0"/>
    <s v="Delivered"/>
    <x v="0"/>
  </r>
  <r>
    <s v="INV-26-09-0208"/>
    <x v="17"/>
    <s v="FB005"/>
    <x v="5"/>
    <x v="2"/>
    <s v="C014"/>
    <x v="5"/>
    <x v="5"/>
    <n v="53"/>
    <s v="Tetra Pack"/>
    <n v="25"/>
    <n v="0"/>
    <n v="1325"/>
    <n v="1325"/>
    <n v="752.6"/>
    <n v="572.4"/>
    <x v="0"/>
    <s v="Delivered"/>
    <x v="2"/>
  </r>
  <r>
    <s v="INV-26-09-0209"/>
    <x v="27"/>
    <s v="FB008"/>
    <x v="8"/>
    <x v="3"/>
    <s v="C001"/>
    <x v="8"/>
    <x v="8"/>
    <n v="84"/>
    <s v="Pack"/>
    <n v="20"/>
    <n v="0.03"/>
    <n v="1680"/>
    <n v="1629.6"/>
    <n v="924"/>
    <n v="705.6"/>
    <x v="1"/>
    <s v="Delivered"/>
    <x v="2"/>
  </r>
  <r>
    <s v="INV-26-09-0210"/>
    <x v="3"/>
    <s v="FB009"/>
    <x v="7"/>
    <x v="1"/>
    <s v="C007"/>
    <x v="4"/>
    <x v="4"/>
    <n v="26"/>
    <s v="Pack"/>
    <n v="35"/>
    <n v="0.03"/>
    <n v="910"/>
    <n v="882.7"/>
    <n v="520"/>
    <n v="362.7"/>
    <x v="1"/>
    <s v="Returned"/>
    <x v="0"/>
  </r>
  <r>
    <s v="INV-26-09-0211"/>
    <x v="12"/>
    <s v="FB002"/>
    <x v="6"/>
    <x v="1"/>
    <s v="C008"/>
    <x v="3"/>
    <x v="3"/>
    <n v="216"/>
    <s v="Pack"/>
    <n v="20"/>
    <n v="0.05"/>
    <n v="4320"/>
    <n v="4104"/>
    <n v="2548.8000000000002"/>
    <n v="1555.2"/>
    <x v="0"/>
    <s v="Delivered"/>
    <x v="0"/>
  </r>
  <r>
    <s v="INV-26-09-0212"/>
    <x v="25"/>
    <s v="FB007"/>
    <x v="4"/>
    <x v="3"/>
    <s v="C012"/>
    <x v="6"/>
    <x v="6"/>
    <n v="215"/>
    <s v="Pack"/>
    <n v="40"/>
    <n v="0"/>
    <n v="8600"/>
    <n v="8600"/>
    <n v="4945"/>
    <n v="3655"/>
    <x v="3"/>
    <s v="Delivered"/>
    <x v="1"/>
  </r>
  <r>
    <s v="INV-26-09-0213"/>
    <x v="3"/>
    <s v="FB010"/>
    <x v="1"/>
    <x v="1"/>
    <s v="C010"/>
    <x v="13"/>
    <x v="12"/>
    <n v="190"/>
    <s v="Pack"/>
    <n v="50"/>
    <n v="0.05"/>
    <n v="9500"/>
    <n v="9025"/>
    <n v="5510"/>
    <n v="3515"/>
    <x v="2"/>
    <s v="Pending"/>
    <x v="1"/>
  </r>
  <r>
    <s v="INV-26-09-0214"/>
    <x v="0"/>
    <s v="FB004"/>
    <x v="3"/>
    <x v="2"/>
    <s v="C008"/>
    <x v="3"/>
    <x v="3"/>
    <n v="21"/>
    <s v="Tetra Pack"/>
    <n v="25"/>
    <n v="0"/>
    <n v="525"/>
    <n v="525"/>
    <n v="294"/>
    <n v="231"/>
    <x v="1"/>
    <s v="Delivered"/>
    <x v="0"/>
  </r>
  <r>
    <s v="INV-26-09-0215"/>
    <x v="29"/>
    <s v="FB008"/>
    <x v="8"/>
    <x v="3"/>
    <s v="C009"/>
    <x v="11"/>
    <x v="10"/>
    <n v="178"/>
    <s v="Pack"/>
    <n v="20"/>
    <n v="0.05"/>
    <n v="3560"/>
    <n v="3382"/>
    <n v="1958"/>
    <n v="1424"/>
    <x v="1"/>
    <s v="Delivered"/>
    <x v="2"/>
  </r>
  <r>
    <s v="INV-26-09-0216"/>
    <x v="28"/>
    <s v="FB001"/>
    <x v="2"/>
    <x v="1"/>
    <s v="C007"/>
    <x v="4"/>
    <x v="4"/>
    <n v="105"/>
    <s v="Pack"/>
    <n v="20"/>
    <n v="0"/>
    <n v="2100"/>
    <n v="2100"/>
    <n v="1207.5"/>
    <n v="892.5"/>
    <x v="2"/>
    <s v="Delivered"/>
    <x v="1"/>
  </r>
  <r>
    <s v="INV-26-09-0217"/>
    <x v="3"/>
    <s v="FB010"/>
    <x v="1"/>
    <x v="1"/>
    <s v="C002"/>
    <x v="7"/>
    <x v="7"/>
    <n v="32"/>
    <s v="Pack"/>
    <n v="50"/>
    <n v="0.03"/>
    <n v="1600"/>
    <n v="1552"/>
    <n v="928"/>
    <n v="624"/>
    <x v="1"/>
    <s v="Delivered"/>
    <x v="2"/>
  </r>
  <r>
    <s v="INV-26-09-0218"/>
    <x v="13"/>
    <s v="FB002"/>
    <x v="6"/>
    <x v="1"/>
    <s v="C014"/>
    <x v="5"/>
    <x v="5"/>
    <n v="220"/>
    <s v="Pack"/>
    <n v="20"/>
    <n v="0.05"/>
    <n v="4400"/>
    <n v="4180"/>
    <n v="2596"/>
    <n v="1584"/>
    <x v="0"/>
    <s v="Delivered"/>
    <x v="2"/>
  </r>
  <r>
    <s v="INV-26-09-0219"/>
    <x v="16"/>
    <s v="FB001"/>
    <x v="2"/>
    <x v="1"/>
    <s v="C005"/>
    <x v="2"/>
    <x v="2"/>
    <n v="22"/>
    <s v="Pack"/>
    <n v="20"/>
    <n v="0.03"/>
    <n v="440"/>
    <n v="426.8"/>
    <n v="253"/>
    <n v="173.8"/>
    <x v="1"/>
    <s v="Delivered"/>
    <x v="1"/>
  </r>
  <r>
    <s v="INV-26-09-0220"/>
    <x v="12"/>
    <s v="FB007"/>
    <x v="4"/>
    <x v="3"/>
    <s v="C013"/>
    <x v="0"/>
    <x v="0"/>
    <n v="212"/>
    <s v="Pack"/>
    <n v="40"/>
    <n v="0"/>
    <n v="8480"/>
    <n v="8480"/>
    <n v="4876"/>
    <n v="3604"/>
    <x v="3"/>
    <s v="Delivered"/>
    <x v="0"/>
  </r>
  <r>
    <s v="INV-26-09-0221"/>
    <x v="17"/>
    <s v="FB003"/>
    <x v="0"/>
    <x v="0"/>
    <s v="C009"/>
    <x v="11"/>
    <x v="10"/>
    <n v="168"/>
    <s v="Bottle"/>
    <n v="85"/>
    <n v="0.02"/>
    <n v="14280"/>
    <n v="13994.4"/>
    <n v="8568"/>
    <n v="5426.4"/>
    <x v="2"/>
    <s v="Pending"/>
    <x v="1"/>
  </r>
  <r>
    <s v="INV-26-09-0222"/>
    <x v="24"/>
    <s v="FB008"/>
    <x v="8"/>
    <x v="3"/>
    <s v="C004"/>
    <x v="1"/>
    <x v="1"/>
    <n v="174"/>
    <s v="Pack"/>
    <n v="20"/>
    <n v="0.05"/>
    <n v="3480"/>
    <n v="3306"/>
    <n v="1914"/>
    <n v="1392"/>
    <x v="2"/>
    <s v="Pending"/>
    <x v="1"/>
  </r>
  <r>
    <s v="INV-26-09-0223"/>
    <x v="14"/>
    <s v="FB009"/>
    <x v="7"/>
    <x v="1"/>
    <s v="C008"/>
    <x v="3"/>
    <x v="3"/>
    <n v="152"/>
    <s v="Pack"/>
    <n v="35"/>
    <n v="0"/>
    <n v="5320"/>
    <n v="5320"/>
    <n v="3040"/>
    <n v="2280"/>
    <x v="3"/>
    <s v="Pending"/>
    <x v="2"/>
  </r>
  <r>
    <s v="INV-26-09-0224"/>
    <x v="15"/>
    <s v="FB008"/>
    <x v="8"/>
    <x v="3"/>
    <s v="C014"/>
    <x v="5"/>
    <x v="5"/>
    <n v="150"/>
    <s v="Pack"/>
    <n v="20"/>
    <n v="0"/>
    <n v="3000"/>
    <n v="3000"/>
    <n v="1650"/>
    <n v="1350"/>
    <x v="0"/>
    <s v="Delivered"/>
    <x v="0"/>
  </r>
  <r>
    <s v="INV-26-09-0225"/>
    <x v="7"/>
    <s v="FB009"/>
    <x v="7"/>
    <x v="1"/>
    <s v="C009"/>
    <x v="11"/>
    <x v="10"/>
    <n v="114"/>
    <s v="Pack"/>
    <n v="35"/>
    <n v="0"/>
    <n v="3990"/>
    <n v="3990"/>
    <n v="2280"/>
    <n v="1710"/>
    <x v="2"/>
    <s v="Returned"/>
    <x v="2"/>
  </r>
  <r>
    <s v="INV-26-09-0226"/>
    <x v="18"/>
    <s v="FB002"/>
    <x v="6"/>
    <x v="1"/>
    <s v="C004"/>
    <x v="1"/>
    <x v="1"/>
    <n v="52"/>
    <s v="Pack"/>
    <n v="20"/>
    <n v="0"/>
    <n v="1040"/>
    <n v="1040"/>
    <n v="613.6"/>
    <n v="426.4"/>
    <x v="0"/>
    <s v="Delivered"/>
    <x v="0"/>
  </r>
  <r>
    <s v="INV-26-09-0227"/>
    <x v="19"/>
    <s v="FB002"/>
    <x v="6"/>
    <x v="1"/>
    <s v="C008"/>
    <x v="3"/>
    <x v="3"/>
    <n v="204"/>
    <s v="Pack"/>
    <n v="20"/>
    <n v="0.03"/>
    <n v="4080"/>
    <n v="3957.6"/>
    <n v="2407.1999999999998"/>
    <n v="1550.4"/>
    <x v="1"/>
    <s v="Delivered"/>
    <x v="2"/>
  </r>
  <r>
    <s v="INV-26-09-0228"/>
    <x v="9"/>
    <s v="FB007"/>
    <x v="4"/>
    <x v="3"/>
    <s v="C010"/>
    <x v="13"/>
    <x v="12"/>
    <n v="142"/>
    <s v="Pack"/>
    <n v="40"/>
    <n v="0"/>
    <n v="5680"/>
    <n v="5680"/>
    <n v="3266"/>
    <n v="2414"/>
    <x v="2"/>
    <s v="Delivered"/>
    <x v="1"/>
  </r>
  <r>
    <s v="INV-26-09-0229"/>
    <x v="27"/>
    <s v="FB007"/>
    <x v="4"/>
    <x v="3"/>
    <s v="C013"/>
    <x v="0"/>
    <x v="0"/>
    <n v="54"/>
    <s v="Pack"/>
    <n v="40"/>
    <n v="0"/>
    <n v="2160"/>
    <n v="2160"/>
    <n v="1242"/>
    <n v="918"/>
    <x v="2"/>
    <s v="Pending"/>
    <x v="0"/>
  </r>
  <r>
    <s v="INV-26-09-0230"/>
    <x v="10"/>
    <s v="FB005"/>
    <x v="5"/>
    <x v="2"/>
    <s v="C008"/>
    <x v="3"/>
    <x v="3"/>
    <n v="143"/>
    <s v="Tetra Pack"/>
    <n v="25"/>
    <n v="0"/>
    <n v="3575"/>
    <n v="3575"/>
    <n v="2030.6"/>
    <n v="1544.4"/>
    <x v="1"/>
    <s v="Returned"/>
    <x v="2"/>
  </r>
  <r>
    <s v="INV-26-09-0231"/>
    <x v="25"/>
    <s v="FB007"/>
    <x v="4"/>
    <x v="3"/>
    <s v="C013"/>
    <x v="0"/>
    <x v="0"/>
    <n v="216"/>
    <s v="Pack"/>
    <n v="40"/>
    <n v="0.02"/>
    <n v="8640"/>
    <n v="8467.2000000000007"/>
    <n v="4968"/>
    <n v="3499.2"/>
    <x v="0"/>
    <s v="Delivered"/>
    <x v="0"/>
  </r>
  <r>
    <s v="INV-26-09-0232"/>
    <x v="0"/>
    <s v="FB003"/>
    <x v="0"/>
    <x v="0"/>
    <s v="C004"/>
    <x v="1"/>
    <x v="1"/>
    <n v="196"/>
    <s v="Bottle"/>
    <n v="85"/>
    <n v="0"/>
    <n v="16660"/>
    <n v="16660"/>
    <n v="9996"/>
    <n v="6664"/>
    <x v="1"/>
    <s v="Returned"/>
    <x v="2"/>
  </r>
  <r>
    <s v="INV-26-09-0233"/>
    <x v="5"/>
    <s v="FB002"/>
    <x v="6"/>
    <x v="1"/>
    <s v="C010"/>
    <x v="13"/>
    <x v="12"/>
    <n v="104"/>
    <s v="Pack"/>
    <n v="20"/>
    <n v="0"/>
    <n v="2080"/>
    <n v="2080"/>
    <n v="1227.2"/>
    <n v="852.8"/>
    <x v="2"/>
    <s v="Delivered"/>
    <x v="2"/>
  </r>
  <r>
    <s v="INV-26-09-0234"/>
    <x v="18"/>
    <s v="FB009"/>
    <x v="7"/>
    <x v="1"/>
    <s v="C010"/>
    <x v="13"/>
    <x v="12"/>
    <n v="140"/>
    <s v="Pack"/>
    <n v="35"/>
    <n v="0.02"/>
    <n v="4900"/>
    <n v="4802"/>
    <n v="2800"/>
    <n v="2002"/>
    <x v="2"/>
    <s v="Delivered"/>
    <x v="2"/>
  </r>
  <r>
    <s v="INV-26-09-0235"/>
    <x v="19"/>
    <s v="FB002"/>
    <x v="6"/>
    <x v="1"/>
    <s v="C005"/>
    <x v="2"/>
    <x v="2"/>
    <n v="197"/>
    <s v="Pack"/>
    <n v="20"/>
    <n v="0"/>
    <n v="3940"/>
    <n v="3940"/>
    <n v="2324.6"/>
    <n v="1615.4"/>
    <x v="3"/>
    <s v="Delivered"/>
    <x v="2"/>
  </r>
  <r>
    <s v="INV-26-09-0236"/>
    <x v="12"/>
    <s v="FB008"/>
    <x v="8"/>
    <x v="3"/>
    <s v="C005"/>
    <x v="2"/>
    <x v="2"/>
    <n v="66"/>
    <s v="Pack"/>
    <n v="20"/>
    <n v="0.05"/>
    <n v="1320"/>
    <n v="1254"/>
    <n v="726"/>
    <n v="528"/>
    <x v="1"/>
    <s v="Delivered"/>
    <x v="2"/>
  </r>
  <r>
    <s v="INV-26-09-0237"/>
    <x v="16"/>
    <s v="FB003"/>
    <x v="0"/>
    <x v="0"/>
    <s v="C009"/>
    <x v="11"/>
    <x v="10"/>
    <n v="73"/>
    <s v="Bottle"/>
    <n v="85"/>
    <n v="0"/>
    <n v="6205"/>
    <n v="6205"/>
    <n v="3723"/>
    <n v="2482"/>
    <x v="3"/>
    <s v="Delivered"/>
    <x v="1"/>
  </r>
  <r>
    <s v="INV-26-09-0238"/>
    <x v="3"/>
    <s v="FB003"/>
    <x v="0"/>
    <x v="0"/>
    <s v="C013"/>
    <x v="0"/>
    <x v="0"/>
    <n v="171"/>
    <s v="Bottle"/>
    <n v="85"/>
    <n v="0.02"/>
    <n v="14535"/>
    <n v="14244.3"/>
    <n v="8721"/>
    <n v="5523.3"/>
    <x v="2"/>
    <s v="Returned"/>
    <x v="1"/>
  </r>
  <r>
    <s v="INV-26-09-0239"/>
    <x v="24"/>
    <s v="FB003"/>
    <x v="0"/>
    <x v="0"/>
    <s v="C007"/>
    <x v="4"/>
    <x v="4"/>
    <n v="138"/>
    <s v="Bottle"/>
    <n v="85"/>
    <n v="0"/>
    <n v="11730"/>
    <n v="11730"/>
    <n v="7038"/>
    <n v="4692"/>
    <x v="2"/>
    <s v="Delivered"/>
    <x v="0"/>
  </r>
  <r>
    <s v="INV-26-09-0240"/>
    <x v="21"/>
    <s v="FB007"/>
    <x v="4"/>
    <x v="3"/>
    <s v="C002"/>
    <x v="7"/>
    <x v="7"/>
    <n v="137"/>
    <s v="Pack"/>
    <n v="40"/>
    <n v="0"/>
    <n v="5480"/>
    <n v="5480"/>
    <n v="3151"/>
    <n v="2329"/>
    <x v="2"/>
    <s v="Delivered"/>
    <x v="1"/>
  </r>
  <r>
    <s v="INV-26-09-0241"/>
    <x v="12"/>
    <s v="FB007"/>
    <x v="4"/>
    <x v="3"/>
    <s v="C006"/>
    <x v="14"/>
    <x v="13"/>
    <n v="199"/>
    <s v="Pack"/>
    <n v="40"/>
    <n v="0"/>
    <n v="7960"/>
    <n v="7960"/>
    <n v="4577"/>
    <n v="3383"/>
    <x v="3"/>
    <s v="Delivered"/>
    <x v="1"/>
  </r>
  <r>
    <s v="INV-26-09-0242"/>
    <x v="29"/>
    <s v="FB002"/>
    <x v="6"/>
    <x v="1"/>
    <s v="C001"/>
    <x v="8"/>
    <x v="8"/>
    <n v="90"/>
    <s v="Pack"/>
    <n v="20"/>
    <n v="0.02"/>
    <n v="1800"/>
    <n v="1764"/>
    <n v="1062"/>
    <n v="702"/>
    <x v="2"/>
    <s v="Delivered"/>
    <x v="1"/>
  </r>
  <r>
    <s v="INV-26-09-0243"/>
    <x v="28"/>
    <s v="FB008"/>
    <x v="8"/>
    <x v="3"/>
    <s v="C010"/>
    <x v="13"/>
    <x v="12"/>
    <n v="77"/>
    <s v="Pack"/>
    <n v="20"/>
    <n v="0.03"/>
    <n v="1540"/>
    <n v="1493.8"/>
    <n v="847"/>
    <n v="646.79999999999995"/>
    <x v="0"/>
    <s v="Delivered"/>
    <x v="1"/>
  </r>
  <r>
    <s v="INV-26-09-0244"/>
    <x v="13"/>
    <s v="FB007"/>
    <x v="4"/>
    <x v="3"/>
    <s v="C012"/>
    <x v="6"/>
    <x v="6"/>
    <n v="148"/>
    <s v="Pack"/>
    <n v="40"/>
    <n v="0.05"/>
    <n v="5920"/>
    <n v="5624"/>
    <n v="3404"/>
    <n v="2220"/>
    <x v="0"/>
    <s v="Returned"/>
    <x v="0"/>
  </r>
  <r>
    <s v="INV-26-09-0245"/>
    <x v="8"/>
    <s v="FB006"/>
    <x v="9"/>
    <x v="4"/>
    <s v="C009"/>
    <x v="11"/>
    <x v="10"/>
    <n v="110"/>
    <s v="Pack"/>
    <n v="15"/>
    <n v="0.02"/>
    <n v="1650"/>
    <n v="1617"/>
    <n v="935"/>
    <n v="682"/>
    <x v="1"/>
    <s v="Returned"/>
    <x v="0"/>
  </r>
  <r>
    <s v="INV-26-09-0246"/>
    <x v="8"/>
    <s v="FB004"/>
    <x v="3"/>
    <x v="2"/>
    <s v="C010"/>
    <x v="13"/>
    <x v="12"/>
    <n v="39"/>
    <s v="Tetra Pack"/>
    <n v="25"/>
    <n v="0.02"/>
    <n v="975"/>
    <n v="955.5"/>
    <n v="546"/>
    <n v="409.5"/>
    <x v="1"/>
    <s v="Delivered"/>
    <x v="1"/>
  </r>
  <r>
    <s v="INV-26-09-0247"/>
    <x v="3"/>
    <s v="FB002"/>
    <x v="6"/>
    <x v="1"/>
    <s v="C015"/>
    <x v="9"/>
    <x v="8"/>
    <n v="111"/>
    <s v="Pack"/>
    <n v="20"/>
    <n v="0.03"/>
    <n v="2220"/>
    <n v="2153.4"/>
    <n v="1309.8"/>
    <n v="843.6"/>
    <x v="1"/>
    <s v="Returned"/>
    <x v="0"/>
  </r>
  <r>
    <s v="INV-26-09-0248"/>
    <x v="25"/>
    <s v="FB001"/>
    <x v="2"/>
    <x v="1"/>
    <s v="C001"/>
    <x v="8"/>
    <x v="8"/>
    <n v="172"/>
    <s v="Pack"/>
    <n v="20"/>
    <n v="0.03"/>
    <n v="3440"/>
    <n v="3336.8"/>
    <n v="1978"/>
    <n v="1358.8"/>
    <x v="2"/>
    <s v="Delivered"/>
    <x v="2"/>
  </r>
  <r>
    <s v="INV-26-09-0249"/>
    <x v="23"/>
    <s v="FB003"/>
    <x v="0"/>
    <x v="0"/>
    <s v="C013"/>
    <x v="0"/>
    <x v="0"/>
    <n v="92"/>
    <s v="Bottle"/>
    <n v="85"/>
    <n v="0"/>
    <n v="7820"/>
    <n v="7820"/>
    <n v="4692"/>
    <n v="3128"/>
    <x v="3"/>
    <s v="Delivered"/>
    <x v="2"/>
  </r>
  <r>
    <s v="INV-26-09-0250"/>
    <x v="2"/>
    <s v="FB008"/>
    <x v="8"/>
    <x v="3"/>
    <s v="C015"/>
    <x v="9"/>
    <x v="8"/>
    <n v="95"/>
    <s v="Pack"/>
    <n v="20"/>
    <n v="0.02"/>
    <n v="1900"/>
    <n v="1862"/>
    <n v="1045"/>
    <n v="817"/>
    <x v="3"/>
    <s v="Pending"/>
    <x v="1"/>
  </r>
  <r>
    <s v="INV-26-09-0251"/>
    <x v="0"/>
    <s v="FB001"/>
    <x v="2"/>
    <x v="1"/>
    <s v="C002"/>
    <x v="7"/>
    <x v="7"/>
    <n v="116"/>
    <s v="Pack"/>
    <n v="20"/>
    <n v="0.03"/>
    <n v="2320"/>
    <n v="2250.4"/>
    <n v="1334"/>
    <n v="916.4"/>
    <x v="1"/>
    <s v="Returned"/>
    <x v="1"/>
  </r>
  <r>
    <s v="INV-26-09-0252"/>
    <x v="4"/>
    <s v="FB007"/>
    <x v="4"/>
    <x v="3"/>
    <s v="C001"/>
    <x v="8"/>
    <x v="8"/>
    <n v="97"/>
    <s v="Pack"/>
    <n v="40"/>
    <n v="0"/>
    <n v="3880"/>
    <n v="3880"/>
    <n v="2231"/>
    <n v="1649"/>
    <x v="3"/>
    <s v="Returned"/>
    <x v="2"/>
  </r>
  <r>
    <s v="INV-26-09-0253"/>
    <x v="29"/>
    <s v="FB007"/>
    <x v="4"/>
    <x v="3"/>
    <s v="C002"/>
    <x v="7"/>
    <x v="7"/>
    <n v="20"/>
    <s v="Pack"/>
    <n v="40"/>
    <n v="0.05"/>
    <n v="800"/>
    <n v="760"/>
    <n v="460"/>
    <n v="300"/>
    <x v="2"/>
    <s v="Delivered"/>
    <x v="0"/>
  </r>
  <r>
    <s v="INV-26-09-0254"/>
    <x v="4"/>
    <s v="FB001"/>
    <x v="2"/>
    <x v="1"/>
    <s v="C004"/>
    <x v="1"/>
    <x v="1"/>
    <n v="136"/>
    <s v="Pack"/>
    <n v="20"/>
    <n v="0"/>
    <n v="2720"/>
    <n v="2720"/>
    <n v="1564"/>
    <n v="1156"/>
    <x v="1"/>
    <s v="Delivered"/>
    <x v="0"/>
  </r>
  <r>
    <s v="INV-26-09-0255"/>
    <x v="3"/>
    <s v="FB006"/>
    <x v="9"/>
    <x v="4"/>
    <s v="C003"/>
    <x v="12"/>
    <x v="11"/>
    <n v="56"/>
    <s v="Pack"/>
    <n v="15"/>
    <n v="0"/>
    <n v="840"/>
    <n v="840"/>
    <n v="476"/>
    <n v="364"/>
    <x v="0"/>
    <s v="Delivered"/>
    <x v="2"/>
  </r>
  <r>
    <s v="INV-26-09-0256"/>
    <x v="24"/>
    <s v="FB006"/>
    <x v="9"/>
    <x v="4"/>
    <s v="C009"/>
    <x v="11"/>
    <x v="10"/>
    <n v="157"/>
    <s v="Pack"/>
    <n v="15"/>
    <n v="0"/>
    <n v="2355"/>
    <n v="2355"/>
    <n v="1334.5"/>
    <n v="1020.5"/>
    <x v="2"/>
    <s v="Delivered"/>
    <x v="0"/>
  </r>
  <r>
    <s v="INV-26-09-0257"/>
    <x v="9"/>
    <s v="FB007"/>
    <x v="4"/>
    <x v="3"/>
    <s v="C005"/>
    <x v="2"/>
    <x v="2"/>
    <n v="179"/>
    <s v="Pack"/>
    <n v="40"/>
    <n v="0.02"/>
    <n v="7160"/>
    <n v="7016.8"/>
    <n v="4117"/>
    <n v="2899.8"/>
    <x v="3"/>
    <s v="Delivered"/>
    <x v="1"/>
  </r>
  <r>
    <s v="INV-26-09-0258"/>
    <x v="21"/>
    <s v="FB002"/>
    <x v="6"/>
    <x v="1"/>
    <s v="C003"/>
    <x v="12"/>
    <x v="11"/>
    <n v="199"/>
    <s v="Pack"/>
    <n v="20"/>
    <n v="0"/>
    <n v="3980"/>
    <n v="3980"/>
    <n v="2348.1999999999998"/>
    <n v="1631.8"/>
    <x v="2"/>
    <s v="Delivered"/>
    <x v="0"/>
  </r>
  <r>
    <s v="INV-26-09-0259"/>
    <x v="19"/>
    <s v="FB007"/>
    <x v="4"/>
    <x v="3"/>
    <s v="C007"/>
    <x v="4"/>
    <x v="4"/>
    <n v="43"/>
    <s v="Pack"/>
    <n v="40"/>
    <n v="0"/>
    <n v="1720"/>
    <n v="1720"/>
    <n v="989"/>
    <n v="731"/>
    <x v="2"/>
    <s v="Delivered"/>
    <x v="2"/>
  </r>
  <r>
    <s v="INV-26-09-0260"/>
    <x v="10"/>
    <s v="FB010"/>
    <x v="1"/>
    <x v="1"/>
    <s v="C011"/>
    <x v="10"/>
    <x v="9"/>
    <n v="84"/>
    <s v="Pack"/>
    <n v="50"/>
    <n v="0.05"/>
    <n v="4200"/>
    <n v="3990"/>
    <n v="2436"/>
    <n v="1554"/>
    <x v="1"/>
    <s v="Returned"/>
    <x v="1"/>
  </r>
  <r>
    <s v="INV-26-09-0261"/>
    <x v="4"/>
    <s v="FB009"/>
    <x v="7"/>
    <x v="1"/>
    <s v="C004"/>
    <x v="1"/>
    <x v="1"/>
    <n v="98"/>
    <s v="Pack"/>
    <n v="35"/>
    <n v="0"/>
    <n v="3430"/>
    <n v="3430"/>
    <n v="1960"/>
    <n v="1470"/>
    <x v="2"/>
    <s v="Delivered"/>
    <x v="1"/>
  </r>
  <r>
    <s v="INV-26-09-0262"/>
    <x v="28"/>
    <s v="FB004"/>
    <x v="3"/>
    <x v="2"/>
    <s v="C002"/>
    <x v="7"/>
    <x v="7"/>
    <n v="50"/>
    <s v="Tetra Pack"/>
    <n v="25"/>
    <n v="0"/>
    <n v="1250"/>
    <n v="1250"/>
    <n v="700"/>
    <n v="550"/>
    <x v="1"/>
    <s v="Delivered"/>
    <x v="1"/>
  </r>
  <r>
    <s v="INV-26-09-0263"/>
    <x v="4"/>
    <s v="FB007"/>
    <x v="4"/>
    <x v="3"/>
    <s v="C013"/>
    <x v="0"/>
    <x v="0"/>
    <n v="24"/>
    <s v="Pack"/>
    <n v="40"/>
    <n v="0.03"/>
    <n v="960"/>
    <n v="931.2"/>
    <n v="552"/>
    <n v="379.2"/>
    <x v="2"/>
    <s v="Returned"/>
    <x v="0"/>
  </r>
  <r>
    <s v="INV-26-09-0264"/>
    <x v="12"/>
    <s v="FB003"/>
    <x v="0"/>
    <x v="0"/>
    <s v="C005"/>
    <x v="2"/>
    <x v="2"/>
    <n v="151"/>
    <s v="Bottle"/>
    <n v="85"/>
    <n v="0.05"/>
    <n v="12835"/>
    <n v="12193.25"/>
    <n v="7701"/>
    <n v="4492.25"/>
    <x v="0"/>
    <s v="Delivered"/>
    <x v="0"/>
  </r>
  <r>
    <s v="INV-26-09-0265"/>
    <x v="16"/>
    <s v="FB004"/>
    <x v="3"/>
    <x v="2"/>
    <s v="C007"/>
    <x v="4"/>
    <x v="4"/>
    <n v="191"/>
    <s v="Tetra Pack"/>
    <n v="25"/>
    <n v="0.03"/>
    <n v="4775"/>
    <n v="4631.75"/>
    <n v="2674"/>
    <n v="1957.75"/>
    <x v="3"/>
    <s v="Delivered"/>
    <x v="2"/>
  </r>
  <r>
    <s v="INV-26-09-0266"/>
    <x v="22"/>
    <s v="FB005"/>
    <x v="5"/>
    <x v="2"/>
    <s v="C003"/>
    <x v="12"/>
    <x v="11"/>
    <n v="26"/>
    <s v="Tetra Pack"/>
    <n v="25"/>
    <n v="0.05"/>
    <n v="650"/>
    <n v="617.5"/>
    <n v="369.2"/>
    <n v="248.3"/>
    <x v="0"/>
    <s v="Delivered"/>
    <x v="0"/>
  </r>
  <r>
    <s v="INV-26-09-0267"/>
    <x v="12"/>
    <s v="FB004"/>
    <x v="3"/>
    <x v="2"/>
    <s v="C010"/>
    <x v="13"/>
    <x v="12"/>
    <n v="172"/>
    <s v="Tetra Pack"/>
    <n v="25"/>
    <n v="0"/>
    <n v="4300"/>
    <n v="4300"/>
    <n v="2408"/>
    <n v="1892"/>
    <x v="2"/>
    <s v="Delivered"/>
    <x v="0"/>
  </r>
  <r>
    <s v="INV-26-09-0268"/>
    <x v="21"/>
    <s v="FB004"/>
    <x v="3"/>
    <x v="2"/>
    <s v="C011"/>
    <x v="10"/>
    <x v="9"/>
    <n v="70"/>
    <s v="Tetra Pack"/>
    <n v="25"/>
    <n v="0"/>
    <n v="1750"/>
    <n v="1750"/>
    <n v="980"/>
    <n v="770"/>
    <x v="1"/>
    <s v="Delivered"/>
    <x v="1"/>
  </r>
  <r>
    <s v="INV-26-09-0269"/>
    <x v="20"/>
    <s v="FB001"/>
    <x v="2"/>
    <x v="1"/>
    <s v="C010"/>
    <x v="13"/>
    <x v="12"/>
    <n v="40"/>
    <s v="Pack"/>
    <n v="20"/>
    <n v="0"/>
    <n v="800"/>
    <n v="800"/>
    <n v="460"/>
    <n v="340"/>
    <x v="0"/>
    <s v="Delivered"/>
    <x v="1"/>
  </r>
  <r>
    <s v="INV-26-09-0270"/>
    <x v="14"/>
    <s v="FB005"/>
    <x v="5"/>
    <x v="2"/>
    <s v="C002"/>
    <x v="7"/>
    <x v="7"/>
    <n v="198"/>
    <s v="Tetra Pack"/>
    <n v="25"/>
    <n v="0.03"/>
    <n v="4950"/>
    <n v="4801.5"/>
    <n v="2811.6"/>
    <n v="1989.9"/>
    <x v="2"/>
    <s v="Delivered"/>
    <x v="1"/>
  </r>
  <r>
    <s v="INV-26-09-0271"/>
    <x v="1"/>
    <s v="FB005"/>
    <x v="5"/>
    <x v="2"/>
    <s v="C004"/>
    <x v="1"/>
    <x v="1"/>
    <n v="56"/>
    <s v="Tetra Pack"/>
    <n v="25"/>
    <n v="0.03"/>
    <n v="1400"/>
    <n v="1358"/>
    <n v="795.2"/>
    <n v="562.79999999999995"/>
    <x v="2"/>
    <s v="Delivered"/>
    <x v="1"/>
  </r>
  <r>
    <s v="INV-26-09-0272"/>
    <x v="15"/>
    <s v="FB002"/>
    <x v="6"/>
    <x v="1"/>
    <s v="C011"/>
    <x v="10"/>
    <x v="9"/>
    <n v="128"/>
    <s v="Pack"/>
    <n v="20"/>
    <n v="0"/>
    <n v="2560"/>
    <n v="2560"/>
    <n v="1510.4"/>
    <n v="1049.5999999999999"/>
    <x v="0"/>
    <s v="Pending"/>
    <x v="1"/>
  </r>
  <r>
    <s v="INV-26-09-0273"/>
    <x v="12"/>
    <s v="FB002"/>
    <x v="6"/>
    <x v="1"/>
    <s v="C013"/>
    <x v="0"/>
    <x v="0"/>
    <n v="204"/>
    <s v="Pack"/>
    <n v="20"/>
    <n v="0.02"/>
    <n v="4080"/>
    <n v="3998.4"/>
    <n v="2407.1999999999998"/>
    <n v="1591.2"/>
    <x v="3"/>
    <s v="Pending"/>
    <x v="1"/>
  </r>
  <r>
    <s v="INV-26-09-0274"/>
    <x v="15"/>
    <s v="FB006"/>
    <x v="9"/>
    <x v="4"/>
    <s v="C004"/>
    <x v="1"/>
    <x v="1"/>
    <n v="142"/>
    <s v="Pack"/>
    <n v="15"/>
    <n v="0"/>
    <n v="2130"/>
    <n v="2130"/>
    <n v="1207"/>
    <n v="923"/>
    <x v="2"/>
    <s v="Delivered"/>
    <x v="0"/>
  </r>
  <r>
    <s v="INV-26-09-0275"/>
    <x v="18"/>
    <s v="FB003"/>
    <x v="0"/>
    <x v="0"/>
    <s v="C009"/>
    <x v="11"/>
    <x v="10"/>
    <n v="20"/>
    <s v="Bottle"/>
    <n v="85"/>
    <n v="0"/>
    <n v="1700"/>
    <n v="1700"/>
    <n v="1020"/>
    <n v="680"/>
    <x v="2"/>
    <s v="Delivered"/>
    <x v="1"/>
  </r>
  <r>
    <s v="INV-26-09-0276"/>
    <x v="29"/>
    <s v="FB002"/>
    <x v="6"/>
    <x v="1"/>
    <s v="C009"/>
    <x v="11"/>
    <x v="10"/>
    <n v="166"/>
    <s v="Pack"/>
    <n v="20"/>
    <n v="0.05"/>
    <n v="3320"/>
    <n v="3154"/>
    <n v="1958.8"/>
    <n v="1195.2"/>
    <x v="3"/>
    <s v="Delivered"/>
    <x v="1"/>
  </r>
  <r>
    <s v="INV-26-09-0277"/>
    <x v="3"/>
    <s v="FB003"/>
    <x v="0"/>
    <x v="0"/>
    <s v="C010"/>
    <x v="13"/>
    <x v="12"/>
    <n v="129"/>
    <s v="Bottle"/>
    <n v="85"/>
    <n v="0"/>
    <n v="10965"/>
    <n v="10965"/>
    <n v="6579"/>
    <n v="4386"/>
    <x v="3"/>
    <s v="Delivered"/>
    <x v="2"/>
  </r>
  <r>
    <s v="INV-26-09-0278"/>
    <x v="11"/>
    <s v="FB003"/>
    <x v="0"/>
    <x v="0"/>
    <s v="C006"/>
    <x v="14"/>
    <x v="13"/>
    <n v="207"/>
    <s v="Bottle"/>
    <n v="85"/>
    <n v="0"/>
    <n v="17595"/>
    <n v="17595"/>
    <n v="10557"/>
    <n v="7038"/>
    <x v="3"/>
    <s v="Returned"/>
    <x v="1"/>
  </r>
  <r>
    <s v="INV-26-09-0279"/>
    <x v="11"/>
    <s v="FB007"/>
    <x v="4"/>
    <x v="3"/>
    <s v="C012"/>
    <x v="6"/>
    <x v="6"/>
    <n v="219"/>
    <s v="Pack"/>
    <n v="40"/>
    <n v="0.03"/>
    <n v="8760"/>
    <n v="8497.2000000000007"/>
    <n v="5037"/>
    <n v="3460.2"/>
    <x v="3"/>
    <s v="Delivered"/>
    <x v="1"/>
  </r>
  <r>
    <s v="INV-26-09-0280"/>
    <x v="8"/>
    <s v="FB005"/>
    <x v="5"/>
    <x v="2"/>
    <s v="C009"/>
    <x v="11"/>
    <x v="10"/>
    <n v="89"/>
    <s v="Tetra Pack"/>
    <n v="25"/>
    <n v="0.05"/>
    <n v="2225"/>
    <n v="2113.75"/>
    <n v="1263.8"/>
    <n v="849.95"/>
    <x v="2"/>
    <s v="Delivered"/>
    <x v="0"/>
  </r>
  <r>
    <s v="INV-26-09-0281"/>
    <x v="19"/>
    <s v="FB006"/>
    <x v="9"/>
    <x v="4"/>
    <s v="C003"/>
    <x v="12"/>
    <x v="11"/>
    <n v="92"/>
    <s v="Pack"/>
    <n v="15"/>
    <n v="0.03"/>
    <n v="1380"/>
    <n v="1338.6"/>
    <n v="782"/>
    <n v="556.6"/>
    <x v="3"/>
    <s v="Delivered"/>
    <x v="1"/>
  </r>
  <r>
    <s v="INV-26-09-0282"/>
    <x v="20"/>
    <s v="FB006"/>
    <x v="9"/>
    <x v="4"/>
    <s v="C015"/>
    <x v="9"/>
    <x v="8"/>
    <n v="101"/>
    <s v="Pack"/>
    <n v="15"/>
    <n v="0.03"/>
    <n v="1515"/>
    <n v="1469.55"/>
    <n v="858.5"/>
    <n v="611.04999999999995"/>
    <x v="1"/>
    <s v="Pending"/>
    <x v="0"/>
  </r>
  <r>
    <s v="INV-26-09-0283"/>
    <x v="8"/>
    <s v="FB005"/>
    <x v="5"/>
    <x v="2"/>
    <s v="C011"/>
    <x v="10"/>
    <x v="9"/>
    <n v="113"/>
    <s v="Tetra Pack"/>
    <n v="25"/>
    <n v="0.05"/>
    <n v="2825"/>
    <n v="2683.75"/>
    <n v="1604.6"/>
    <n v="1079.1500000000001"/>
    <x v="3"/>
    <s v="Delivered"/>
    <x v="0"/>
  </r>
  <r>
    <s v="INV-26-09-0284"/>
    <x v="0"/>
    <s v="FB010"/>
    <x v="1"/>
    <x v="1"/>
    <s v="C006"/>
    <x v="14"/>
    <x v="13"/>
    <n v="202"/>
    <s v="Pack"/>
    <n v="50"/>
    <n v="0"/>
    <n v="10100"/>
    <n v="10100"/>
    <n v="5858"/>
    <n v="4242"/>
    <x v="1"/>
    <s v="Delivered"/>
    <x v="0"/>
  </r>
  <r>
    <s v="INV-26-09-0285"/>
    <x v="15"/>
    <s v="FB006"/>
    <x v="9"/>
    <x v="4"/>
    <s v="C002"/>
    <x v="7"/>
    <x v="7"/>
    <n v="62"/>
    <s v="Pack"/>
    <n v="15"/>
    <n v="0"/>
    <n v="930"/>
    <n v="930"/>
    <n v="527"/>
    <n v="403"/>
    <x v="1"/>
    <s v="Pending"/>
    <x v="2"/>
  </r>
  <r>
    <s v="INV-26-09-0286"/>
    <x v="15"/>
    <s v="FB009"/>
    <x v="7"/>
    <x v="1"/>
    <s v="C002"/>
    <x v="7"/>
    <x v="7"/>
    <n v="141"/>
    <s v="Pack"/>
    <n v="35"/>
    <n v="0"/>
    <n v="4935"/>
    <n v="4935"/>
    <n v="2820"/>
    <n v="2115"/>
    <x v="3"/>
    <s v="Delivered"/>
    <x v="0"/>
  </r>
  <r>
    <s v="INV-26-09-0287"/>
    <x v="26"/>
    <s v="FB007"/>
    <x v="4"/>
    <x v="3"/>
    <s v="C001"/>
    <x v="8"/>
    <x v="8"/>
    <n v="160"/>
    <s v="Pack"/>
    <n v="40"/>
    <n v="0.02"/>
    <n v="6400"/>
    <n v="6272"/>
    <n v="3680"/>
    <n v="2592"/>
    <x v="0"/>
    <s v="Delivered"/>
    <x v="2"/>
  </r>
  <r>
    <s v="INV-26-09-0288"/>
    <x v="6"/>
    <s v="FB008"/>
    <x v="8"/>
    <x v="3"/>
    <s v="C008"/>
    <x v="3"/>
    <x v="3"/>
    <n v="92"/>
    <s v="Pack"/>
    <n v="20"/>
    <n v="0.03"/>
    <n v="1840"/>
    <n v="1784.8"/>
    <n v="1012"/>
    <n v="772.8"/>
    <x v="1"/>
    <s v="Pending"/>
    <x v="1"/>
  </r>
  <r>
    <s v="INV-26-09-0289"/>
    <x v="26"/>
    <s v="FB007"/>
    <x v="4"/>
    <x v="3"/>
    <s v="C002"/>
    <x v="7"/>
    <x v="7"/>
    <n v="18"/>
    <s v="Pack"/>
    <n v="40"/>
    <n v="0"/>
    <n v="720"/>
    <n v="720"/>
    <n v="414"/>
    <n v="306"/>
    <x v="3"/>
    <s v="Delivered"/>
    <x v="0"/>
  </r>
  <r>
    <s v="INV-26-09-0290"/>
    <x v="18"/>
    <s v="FB003"/>
    <x v="0"/>
    <x v="0"/>
    <s v="C013"/>
    <x v="0"/>
    <x v="0"/>
    <n v="37"/>
    <s v="Bottle"/>
    <n v="85"/>
    <n v="0.02"/>
    <n v="3145"/>
    <n v="3082.1"/>
    <n v="1887"/>
    <n v="1195.0999999999999"/>
    <x v="3"/>
    <s v="Pending"/>
    <x v="1"/>
  </r>
  <r>
    <s v="INV-26-09-0291"/>
    <x v="13"/>
    <s v="FB008"/>
    <x v="8"/>
    <x v="3"/>
    <s v="C010"/>
    <x v="13"/>
    <x v="12"/>
    <n v="58"/>
    <s v="Pack"/>
    <n v="20"/>
    <n v="0.02"/>
    <n v="1160"/>
    <n v="1136.8"/>
    <n v="638"/>
    <n v="498.8"/>
    <x v="2"/>
    <s v="Returned"/>
    <x v="2"/>
  </r>
  <r>
    <s v="INV-26-09-0292"/>
    <x v="27"/>
    <s v="FB008"/>
    <x v="8"/>
    <x v="3"/>
    <s v="C008"/>
    <x v="3"/>
    <x v="3"/>
    <n v="218"/>
    <s v="Pack"/>
    <n v="20"/>
    <n v="0"/>
    <n v="4360"/>
    <n v="4360"/>
    <n v="2398"/>
    <n v="1962"/>
    <x v="0"/>
    <s v="Delivered"/>
    <x v="2"/>
  </r>
  <r>
    <s v="INV-26-09-0293"/>
    <x v="5"/>
    <s v="FB009"/>
    <x v="7"/>
    <x v="1"/>
    <s v="C005"/>
    <x v="2"/>
    <x v="2"/>
    <n v="180"/>
    <s v="Pack"/>
    <n v="35"/>
    <n v="0"/>
    <n v="6300"/>
    <n v="6300"/>
    <n v="3600"/>
    <n v="2700"/>
    <x v="1"/>
    <s v="Delivered"/>
    <x v="1"/>
  </r>
  <r>
    <s v="INV-26-09-0294"/>
    <x v="22"/>
    <s v="FB006"/>
    <x v="9"/>
    <x v="4"/>
    <s v="C015"/>
    <x v="9"/>
    <x v="8"/>
    <n v="58"/>
    <s v="Pack"/>
    <n v="15"/>
    <n v="0.03"/>
    <n v="870"/>
    <n v="843.9"/>
    <n v="493"/>
    <n v="350.9"/>
    <x v="3"/>
    <s v="Delivered"/>
    <x v="0"/>
  </r>
  <r>
    <s v="INV-26-09-0295"/>
    <x v="7"/>
    <s v="FB005"/>
    <x v="5"/>
    <x v="2"/>
    <s v="C005"/>
    <x v="2"/>
    <x v="2"/>
    <n v="25"/>
    <s v="Tetra Pack"/>
    <n v="25"/>
    <n v="0"/>
    <n v="625"/>
    <n v="625"/>
    <n v="355"/>
    <n v="270"/>
    <x v="2"/>
    <s v="Delivered"/>
    <x v="0"/>
  </r>
  <r>
    <s v="INV-26-09-0296"/>
    <x v="27"/>
    <s v="FB002"/>
    <x v="6"/>
    <x v="1"/>
    <s v="C014"/>
    <x v="5"/>
    <x v="5"/>
    <n v="44"/>
    <s v="Pack"/>
    <n v="20"/>
    <n v="0"/>
    <n v="880"/>
    <n v="880"/>
    <n v="519.20000000000005"/>
    <n v="360.8"/>
    <x v="3"/>
    <s v="Returned"/>
    <x v="2"/>
  </r>
  <r>
    <s v="INV-26-09-0297"/>
    <x v="26"/>
    <s v="FB005"/>
    <x v="5"/>
    <x v="2"/>
    <s v="C015"/>
    <x v="9"/>
    <x v="8"/>
    <n v="168"/>
    <s v="Tetra Pack"/>
    <n v="25"/>
    <n v="0"/>
    <n v="4200"/>
    <n v="4200"/>
    <n v="2385.6"/>
    <n v="1814.4"/>
    <x v="3"/>
    <s v="Delivered"/>
    <x v="0"/>
  </r>
  <r>
    <s v="INV-26-09-0298"/>
    <x v="19"/>
    <s v="FB010"/>
    <x v="1"/>
    <x v="1"/>
    <s v="C009"/>
    <x v="11"/>
    <x v="10"/>
    <n v="62"/>
    <s v="Pack"/>
    <n v="50"/>
    <n v="0"/>
    <n v="3100"/>
    <n v="3100"/>
    <n v="1798"/>
    <n v="1302"/>
    <x v="1"/>
    <s v="Delivered"/>
    <x v="0"/>
  </r>
  <r>
    <s v="INV-26-09-0299"/>
    <x v="1"/>
    <s v="FB003"/>
    <x v="0"/>
    <x v="0"/>
    <s v="C004"/>
    <x v="1"/>
    <x v="1"/>
    <n v="59"/>
    <s v="Bottle"/>
    <n v="85"/>
    <n v="0.05"/>
    <n v="5015"/>
    <n v="4764.25"/>
    <n v="3009"/>
    <n v="1755.25"/>
    <x v="3"/>
    <s v="Delivered"/>
    <x v="0"/>
  </r>
  <r>
    <s v="INV-26-09-0300"/>
    <x v="5"/>
    <s v="FB009"/>
    <x v="7"/>
    <x v="1"/>
    <s v="C009"/>
    <x v="11"/>
    <x v="10"/>
    <n v="189"/>
    <s v="Pack"/>
    <n v="35"/>
    <n v="0.03"/>
    <n v="6615"/>
    <n v="6416.55"/>
    <n v="3780"/>
    <n v="2636.55"/>
    <x v="3"/>
    <s v="Pending"/>
    <x v="0"/>
  </r>
  <r>
    <s v="INV-26-09-0301"/>
    <x v="4"/>
    <s v="FB006"/>
    <x v="9"/>
    <x v="4"/>
    <s v="C002"/>
    <x v="7"/>
    <x v="7"/>
    <n v="161"/>
    <s v="Pack"/>
    <n v="15"/>
    <n v="0"/>
    <n v="2415"/>
    <n v="2415"/>
    <n v="1368.5"/>
    <n v="1046.5"/>
    <x v="0"/>
    <s v="Returned"/>
    <x v="1"/>
  </r>
  <r>
    <s v="INV-26-09-0302"/>
    <x v="14"/>
    <s v="FB010"/>
    <x v="1"/>
    <x v="1"/>
    <s v="C011"/>
    <x v="10"/>
    <x v="9"/>
    <n v="181"/>
    <s v="Pack"/>
    <n v="50"/>
    <n v="0.05"/>
    <n v="9050"/>
    <n v="8597.5"/>
    <n v="5249"/>
    <n v="3348.5"/>
    <x v="3"/>
    <s v="Delivered"/>
    <x v="1"/>
  </r>
  <r>
    <s v="INV-26-09-0303"/>
    <x v="16"/>
    <s v="FB005"/>
    <x v="5"/>
    <x v="2"/>
    <s v="C002"/>
    <x v="7"/>
    <x v="7"/>
    <n v="168"/>
    <s v="Tetra Pack"/>
    <n v="25"/>
    <n v="0"/>
    <n v="4200"/>
    <n v="4200"/>
    <n v="2385.6"/>
    <n v="1814.4"/>
    <x v="1"/>
    <s v="Delivered"/>
    <x v="2"/>
  </r>
  <r>
    <s v="INV-26-09-0304"/>
    <x v="24"/>
    <s v="FB007"/>
    <x v="4"/>
    <x v="3"/>
    <s v="C007"/>
    <x v="4"/>
    <x v="4"/>
    <n v="207"/>
    <s v="Pack"/>
    <n v="40"/>
    <n v="0.05"/>
    <n v="8280"/>
    <n v="7866"/>
    <n v="4761"/>
    <n v="3105"/>
    <x v="1"/>
    <s v="Returned"/>
    <x v="2"/>
  </r>
  <r>
    <s v="INV-26-09-0305"/>
    <x v="6"/>
    <s v="FB006"/>
    <x v="9"/>
    <x v="4"/>
    <s v="C009"/>
    <x v="11"/>
    <x v="10"/>
    <n v="78"/>
    <s v="Pack"/>
    <n v="15"/>
    <n v="0.02"/>
    <n v="1170"/>
    <n v="1146.5999999999999"/>
    <n v="663"/>
    <n v="483.6"/>
    <x v="0"/>
    <s v="Delivered"/>
    <x v="0"/>
  </r>
  <r>
    <s v="INV-26-09-0306"/>
    <x v="24"/>
    <s v="FB003"/>
    <x v="0"/>
    <x v="0"/>
    <s v="C015"/>
    <x v="9"/>
    <x v="8"/>
    <n v="144"/>
    <s v="Bottle"/>
    <n v="85"/>
    <n v="0.03"/>
    <n v="12240"/>
    <n v="11872.8"/>
    <n v="7344"/>
    <n v="4528.8"/>
    <x v="2"/>
    <s v="Returned"/>
    <x v="2"/>
  </r>
  <r>
    <s v="INV-26-09-0307"/>
    <x v="26"/>
    <s v="FB003"/>
    <x v="0"/>
    <x v="0"/>
    <s v="C013"/>
    <x v="0"/>
    <x v="0"/>
    <n v="17"/>
    <s v="Bottle"/>
    <n v="85"/>
    <n v="0.05"/>
    <n v="1445"/>
    <n v="1372.75"/>
    <n v="867"/>
    <n v="505.75"/>
    <x v="1"/>
    <s v="Delivered"/>
    <x v="1"/>
  </r>
  <r>
    <s v="INV-26-09-0308"/>
    <x v="19"/>
    <s v="FB006"/>
    <x v="9"/>
    <x v="4"/>
    <s v="C013"/>
    <x v="0"/>
    <x v="0"/>
    <n v="171"/>
    <s v="Pack"/>
    <n v="15"/>
    <n v="0"/>
    <n v="2565"/>
    <n v="2565"/>
    <n v="1453.5"/>
    <n v="1111.5"/>
    <x v="3"/>
    <s v="Delivered"/>
    <x v="0"/>
  </r>
  <r>
    <s v="INV-26-09-0309"/>
    <x v="2"/>
    <s v="FB005"/>
    <x v="5"/>
    <x v="2"/>
    <s v="C009"/>
    <x v="11"/>
    <x v="10"/>
    <n v="27"/>
    <s v="Tetra Pack"/>
    <n v="25"/>
    <n v="0.02"/>
    <n v="675"/>
    <n v="661.5"/>
    <n v="383.4"/>
    <n v="278.10000000000002"/>
    <x v="3"/>
    <s v="Delivered"/>
    <x v="2"/>
  </r>
  <r>
    <s v="INV-26-09-0310"/>
    <x v="22"/>
    <s v="FB006"/>
    <x v="9"/>
    <x v="4"/>
    <s v="C009"/>
    <x v="11"/>
    <x v="10"/>
    <n v="27"/>
    <s v="Pack"/>
    <n v="15"/>
    <n v="0"/>
    <n v="405"/>
    <n v="405"/>
    <n v="229.5"/>
    <n v="175.5"/>
    <x v="0"/>
    <s v="Returned"/>
    <x v="1"/>
  </r>
  <r>
    <s v="INV-26-09-0311"/>
    <x v="21"/>
    <s v="FB003"/>
    <x v="0"/>
    <x v="0"/>
    <s v="C004"/>
    <x v="1"/>
    <x v="1"/>
    <n v="210"/>
    <s v="Bottle"/>
    <n v="85"/>
    <n v="0.02"/>
    <n v="17850"/>
    <n v="17493"/>
    <n v="10710"/>
    <n v="6783"/>
    <x v="2"/>
    <s v="Returned"/>
    <x v="2"/>
  </r>
  <r>
    <s v="INV-26-09-0312"/>
    <x v="23"/>
    <s v="FB002"/>
    <x v="6"/>
    <x v="1"/>
    <s v="C005"/>
    <x v="2"/>
    <x v="2"/>
    <n v="90"/>
    <s v="Pack"/>
    <n v="20"/>
    <n v="0.02"/>
    <n v="1800"/>
    <n v="1764"/>
    <n v="1062"/>
    <n v="702"/>
    <x v="3"/>
    <s v="Delivered"/>
    <x v="0"/>
  </r>
  <r>
    <s v="INV-26-09-0313"/>
    <x v="0"/>
    <s v="FB003"/>
    <x v="0"/>
    <x v="0"/>
    <s v="C009"/>
    <x v="11"/>
    <x v="10"/>
    <n v="117"/>
    <s v="Bottle"/>
    <n v="85"/>
    <n v="0.05"/>
    <n v="9945"/>
    <n v="9447.75"/>
    <n v="5967"/>
    <n v="3480.75"/>
    <x v="0"/>
    <s v="Delivered"/>
    <x v="1"/>
  </r>
  <r>
    <s v="INV-26-09-0314"/>
    <x v="19"/>
    <s v="FB002"/>
    <x v="6"/>
    <x v="1"/>
    <s v="C006"/>
    <x v="14"/>
    <x v="13"/>
    <n v="216"/>
    <s v="Pack"/>
    <n v="20"/>
    <n v="0.02"/>
    <n v="4320"/>
    <n v="4233.6000000000004"/>
    <n v="2548.8000000000002"/>
    <n v="1684.8"/>
    <x v="3"/>
    <s v="Delivered"/>
    <x v="0"/>
  </r>
  <r>
    <s v="INV-26-09-0315"/>
    <x v="20"/>
    <s v="FB004"/>
    <x v="3"/>
    <x v="2"/>
    <s v="C004"/>
    <x v="1"/>
    <x v="1"/>
    <n v="110"/>
    <s v="Tetra Pack"/>
    <n v="25"/>
    <n v="0"/>
    <n v="2750"/>
    <n v="2750"/>
    <n v="1540"/>
    <n v="1210"/>
    <x v="1"/>
    <s v="Pending"/>
    <x v="2"/>
  </r>
  <r>
    <s v="INV-26-09-0316"/>
    <x v="10"/>
    <s v="FB009"/>
    <x v="7"/>
    <x v="1"/>
    <s v="C005"/>
    <x v="2"/>
    <x v="2"/>
    <n v="210"/>
    <s v="Pack"/>
    <n v="35"/>
    <n v="0"/>
    <n v="7350"/>
    <n v="7350"/>
    <n v="4200"/>
    <n v="3150"/>
    <x v="1"/>
    <s v="Returned"/>
    <x v="2"/>
  </r>
  <r>
    <s v="INV-26-09-0317"/>
    <x v="3"/>
    <s v="FB004"/>
    <x v="3"/>
    <x v="2"/>
    <s v="C015"/>
    <x v="9"/>
    <x v="8"/>
    <n v="135"/>
    <s v="Tetra Pack"/>
    <n v="25"/>
    <n v="0"/>
    <n v="3375"/>
    <n v="3375"/>
    <n v="1890"/>
    <n v="1485"/>
    <x v="2"/>
    <s v="Delivered"/>
    <x v="2"/>
  </r>
  <r>
    <s v="INV-26-09-0318"/>
    <x v="11"/>
    <s v="FB003"/>
    <x v="0"/>
    <x v="0"/>
    <s v="C014"/>
    <x v="5"/>
    <x v="5"/>
    <n v="96"/>
    <s v="Bottle"/>
    <n v="85"/>
    <n v="0"/>
    <n v="8160"/>
    <n v="8160"/>
    <n v="4896"/>
    <n v="3264"/>
    <x v="0"/>
    <s v="Delivered"/>
    <x v="0"/>
  </r>
  <r>
    <s v="INV-26-09-0319"/>
    <x v="18"/>
    <s v="FB007"/>
    <x v="4"/>
    <x v="3"/>
    <s v="C013"/>
    <x v="0"/>
    <x v="0"/>
    <n v="30"/>
    <s v="Pack"/>
    <n v="40"/>
    <n v="0"/>
    <n v="1200"/>
    <n v="1200"/>
    <n v="690"/>
    <n v="510"/>
    <x v="2"/>
    <s v="Delivered"/>
    <x v="1"/>
  </r>
  <r>
    <s v="INV-26-09-0320"/>
    <x v="24"/>
    <s v="FB006"/>
    <x v="9"/>
    <x v="4"/>
    <s v="C004"/>
    <x v="1"/>
    <x v="1"/>
    <n v="30"/>
    <s v="Pack"/>
    <n v="15"/>
    <n v="0"/>
    <n v="450"/>
    <n v="450"/>
    <n v="255"/>
    <n v="195"/>
    <x v="1"/>
    <s v="Pending"/>
    <x v="0"/>
  </r>
  <r>
    <s v="INV-26-09-0321"/>
    <x v="6"/>
    <s v="FB004"/>
    <x v="3"/>
    <x v="2"/>
    <s v="C008"/>
    <x v="3"/>
    <x v="3"/>
    <n v="33"/>
    <s v="Tetra Pack"/>
    <n v="25"/>
    <n v="0"/>
    <n v="825"/>
    <n v="825"/>
    <n v="462"/>
    <n v="363"/>
    <x v="1"/>
    <s v="Pending"/>
    <x v="0"/>
  </r>
  <r>
    <s v="INV-26-09-0322"/>
    <x v="27"/>
    <s v="FB001"/>
    <x v="2"/>
    <x v="1"/>
    <s v="C003"/>
    <x v="12"/>
    <x v="11"/>
    <n v="179"/>
    <s v="Pack"/>
    <n v="20"/>
    <n v="0"/>
    <n v="3580"/>
    <n v="3580"/>
    <n v="2058.5"/>
    <n v="1521.5"/>
    <x v="2"/>
    <s v="Delivered"/>
    <x v="1"/>
  </r>
  <r>
    <s v="INV-26-09-0323"/>
    <x v="15"/>
    <s v="FB006"/>
    <x v="9"/>
    <x v="4"/>
    <s v="C005"/>
    <x v="2"/>
    <x v="2"/>
    <n v="75"/>
    <s v="Pack"/>
    <n v="15"/>
    <n v="0.03"/>
    <n v="1125"/>
    <n v="1091.25"/>
    <n v="637.5"/>
    <n v="453.75"/>
    <x v="0"/>
    <s v="Returned"/>
    <x v="1"/>
  </r>
  <r>
    <s v="INV-26-09-0324"/>
    <x v="25"/>
    <s v="FB004"/>
    <x v="3"/>
    <x v="2"/>
    <s v="C011"/>
    <x v="10"/>
    <x v="9"/>
    <n v="41"/>
    <s v="Tetra Pack"/>
    <n v="25"/>
    <n v="0"/>
    <n v="1025"/>
    <n v="1025"/>
    <n v="574"/>
    <n v="451"/>
    <x v="2"/>
    <s v="Delivered"/>
    <x v="1"/>
  </r>
  <r>
    <s v="INV-26-09-0325"/>
    <x v="24"/>
    <s v="FB010"/>
    <x v="1"/>
    <x v="1"/>
    <s v="C003"/>
    <x v="12"/>
    <x v="11"/>
    <n v="89"/>
    <s v="Pack"/>
    <n v="50"/>
    <n v="0.05"/>
    <n v="4450"/>
    <n v="4227.5"/>
    <n v="2581"/>
    <n v="1646.5"/>
    <x v="0"/>
    <s v="Pending"/>
    <x v="0"/>
  </r>
  <r>
    <s v="INV-26-09-0326"/>
    <x v="0"/>
    <s v="FB002"/>
    <x v="6"/>
    <x v="1"/>
    <s v="C011"/>
    <x v="10"/>
    <x v="9"/>
    <n v="158"/>
    <s v="Pack"/>
    <n v="20"/>
    <n v="0"/>
    <n v="3160"/>
    <n v="3160"/>
    <n v="1864.4"/>
    <n v="1295.5999999999999"/>
    <x v="3"/>
    <s v="Pending"/>
    <x v="2"/>
  </r>
  <r>
    <s v="INV-26-09-0327"/>
    <x v="24"/>
    <s v="FB003"/>
    <x v="0"/>
    <x v="0"/>
    <s v="C009"/>
    <x v="11"/>
    <x v="10"/>
    <n v="25"/>
    <s v="Bottle"/>
    <n v="85"/>
    <n v="0.02"/>
    <n v="2125"/>
    <n v="2082.5"/>
    <n v="1275"/>
    <n v="807.5"/>
    <x v="0"/>
    <s v="Delivered"/>
    <x v="2"/>
  </r>
  <r>
    <s v="INV-26-09-0328"/>
    <x v="16"/>
    <s v="FB009"/>
    <x v="7"/>
    <x v="1"/>
    <s v="C010"/>
    <x v="13"/>
    <x v="12"/>
    <n v="76"/>
    <s v="Pack"/>
    <n v="35"/>
    <n v="0"/>
    <n v="2660"/>
    <n v="2660"/>
    <n v="1520"/>
    <n v="1140"/>
    <x v="1"/>
    <s v="Delivered"/>
    <x v="2"/>
  </r>
  <r>
    <s v="INV-26-09-0329"/>
    <x v="14"/>
    <s v="FB003"/>
    <x v="0"/>
    <x v="0"/>
    <s v="C001"/>
    <x v="8"/>
    <x v="8"/>
    <n v="47"/>
    <s v="Bottle"/>
    <n v="85"/>
    <n v="0.03"/>
    <n v="3995"/>
    <n v="3875.15"/>
    <n v="2397"/>
    <n v="1478.15"/>
    <x v="0"/>
    <s v="Pending"/>
    <x v="2"/>
  </r>
  <r>
    <s v="INV-26-09-0330"/>
    <x v="5"/>
    <s v="FB001"/>
    <x v="2"/>
    <x v="1"/>
    <s v="C011"/>
    <x v="10"/>
    <x v="9"/>
    <n v="27"/>
    <s v="Pack"/>
    <n v="20"/>
    <n v="0.02"/>
    <n v="540"/>
    <n v="529.20000000000005"/>
    <n v="310.5"/>
    <n v="218.7"/>
    <x v="0"/>
    <s v="Delivered"/>
    <x v="1"/>
  </r>
  <r>
    <s v="INV-26-09-0331"/>
    <x v="13"/>
    <s v="FB003"/>
    <x v="0"/>
    <x v="0"/>
    <s v="C006"/>
    <x v="14"/>
    <x v="13"/>
    <n v="208"/>
    <s v="Bottle"/>
    <n v="85"/>
    <n v="0.02"/>
    <n v="17680"/>
    <n v="17326.400000000001"/>
    <n v="10608"/>
    <n v="6718.4"/>
    <x v="3"/>
    <s v="Pending"/>
    <x v="0"/>
  </r>
  <r>
    <s v="INV-26-09-0332"/>
    <x v="2"/>
    <s v="FB008"/>
    <x v="8"/>
    <x v="3"/>
    <s v="C007"/>
    <x v="4"/>
    <x v="4"/>
    <n v="205"/>
    <s v="Pack"/>
    <n v="20"/>
    <n v="0.02"/>
    <n v="4100"/>
    <n v="4018"/>
    <n v="2255"/>
    <n v="1763"/>
    <x v="1"/>
    <s v="Delivered"/>
    <x v="0"/>
  </r>
  <r>
    <s v="INV-26-09-0333"/>
    <x v="28"/>
    <s v="FB006"/>
    <x v="9"/>
    <x v="4"/>
    <s v="C004"/>
    <x v="1"/>
    <x v="1"/>
    <n v="29"/>
    <s v="Pack"/>
    <n v="15"/>
    <n v="0.05"/>
    <n v="435"/>
    <n v="413.25"/>
    <n v="246.5"/>
    <n v="166.75"/>
    <x v="1"/>
    <s v="Returned"/>
    <x v="1"/>
  </r>
  <r>
    <s v="INV-26-09-0334"/>
    <x v="21"/>
    <s v="FB010"/>
    <x v="1"/>
    <x v="1"/>
    <s v="C007"/>
    <x v="4"/>
    <x v="4"/>
    <n v="127"/>
    <s v="Pack"/>
    <n v="50"/>
    <n v="0"/>
    <n v="6350"/>
    <n v="6350"/>
    <n v="3683"/>
    <n v="2667"/>
    <x v="0"/>
    <s v="Delivered"/>
    <x v="2"/>
  </r>
  <r>
    <s v="INV-26-09-0335"/>
    <x v="13"/>
    <s v="FB008"/>
    <x v="8"/>
    <x v="3"/>
    <s v="C009"/>
    <x v="11"/>
    <x v="10"/>
    <n v="153"/>
    <s v="Pack"/>
    <n v="20"/>
    <n v="0.03"/>
    <n v="3060"/>
    <n v="2968.2"/>
    <n v="1683"/>
    <n v="1285.2"/>
    <x v="3"/>
    <s v="Returned"/>
    <x v="0"/>
  </r>
  <r>
    <s v="INV-26-09-0336"/>
    <x v="23"/>
    <s v="FB004"/>
    <x v="3"/>
    <x v="2"/>
    <s v="C014"/>
    <x v="5"/>
    <x v="5"/>
    <n v="115"/>
    <s v="Tetra Pack"/>
    <n v="25"/>
    <n v="0"/>
    <n v="2875"/>
    <n v="2875"/>
    <n v="1610"/>
    <n v="1265"/>
    <x v="3"/>
    <s v="Delivered"/>
    <x v="0"/>
  </r>
  <r>
    <s v="INV-26-09-0337"/>
    <x v="6"/>
    <s v="FB005"/>
    <x v="5"/>
    <x v="2"/>
    <s v="C011"/>
    <x v="10"/>
    <x v="9"/>
    <n v="125"/>
    <s v="Tetra Pack"/>
    <n v="25"/>
    <n v="0"/>
    <n v="3125"/>
    <n v="3125"/>
    <n v="1775"/>
    <n v="1350"/>
    <x v="3"/>
    <s v="Delivered"/>
    <x v="1"/>
  </r>
  <r>
    <s v="INV-26-09-0338"/>
    <x v="15"/>
    <s v="FB003"/>
    <x v="0"/>
    <x v="0"/>
    <s v="C010"/>
    <x v="13"/>
    <x v="12"/>
    <n v="154"/>
    <s v="Bottle"/>
    <n v="85"/>
    <n v="0.03"/>
    <n v="13090"/>
    <n v="12697.3"/>
    <n v="7854"/>
    <n v="4843.3"/>
    <x v="1"/>
    <s v="Delivered"/>
    <x v="0"/>
  </r>
  <r>
    <s v="INV-26-09-0339"/>
    <x v="16"/>
    <s v="FB001"/>
    <x v="2"/>
    <x v="1"/>
    <s v="C004"/>
    <x v="1"/>
    <x v="1"/>
    <n v="211"/>
    <s v="Pack"/>
    <n v="20"/>
    <n v="0"/>
    <n v="4220"/>
    <n v="4220"/>
    <n v="2426.5"/>
    <n v="1793.5"/>
    <x v="1"/>
    <s v="Pending"/>
    <x v="1"/>
  </r>
  <r>
    <s v="INV-26-09-0340"/>
    <x v="18"/>
    <s v="FB007"/>
    <x v="4"/>
    <x v="3"/>
    <s v="C001"/>
    <x v="8"/>
    <x v="8"/>
    <n v="56"/>
    <s v="Pack"/>
    <n v="40"/>
    <n v="0"/>
    <n v="2240"/>
    <n v="2240"/>
    <n v="1288"/>
    <n v="952"/>
    <x v="2"/>
    <s v="Delivered"/>
    <x v="1"/>
  </r>
  <r>
    <s v="INV-26-09-0341"/>
    <x v="2"/>
    <s v="FB002"/>
    <x v="6"/>
    <x v="1"/>
    <s v="C006"/>
    <x v="14"/>
    <x v="13"/>
    <n v="208"/>
    <s v="Pack"/>
    <n v="20"/>
    <n v="0.03"/>
    <n v="4160"/>
    <n v="4035.2"/>
    <n v="2454.4"/>
    <n v="1580.8"/>
    <x v="1"/>
    <s v="Delivered"/>
    <x v="0"/>
  </r>
  <r>
    <s v="INV-26-09-0342"/>
    <x v="24"/>
    <s v="FB008"/>
    <x v="8"/>
    <x v="3"/>
    <s v="C004"/>
    <x v="1"/>
    <x v="1"/>
    <n v="71"/>
    <s v="Pack"/>
    <n v="20"/>
    <n v="0.05"/>
    <n v="1420"/>
    <n v="1349"/>
    <n v="781"/>
    <n v="568"/>
    <x v="2"/>
    <s v="Delivered"/>
    <x v="0"/>
  </r>
  <r>
    <s v="INV-26-09-0343"/>
    <x v="26"/>
    <s v="FB001"/>
    <x v="2"/>
    <x v="1"/>
    <s v="C010"/>
    <x v="13"/>
    <x v="12"/>
    <n v="82"/>
    <s v="Pack"/>
    <n v="20"/>
    <n v="0.05"/>
    <n v="1640"/>
    <n v="1558"/>
    <n v="943"/>
    <n v="615"/>
    <x v="1"/>
    <s v="Pending"/>
    <x v="2"/>
  </r>
  <r>
    <s v="INV-26-09-0344"/>
    <x v="19"/>
    <s v="FB010"/>
    <x v="1"/>
    <x v="1"/>
    <s v="C001"/>
    <x v="8"/>
    <x v="8"/>
    <n v="40"/>
    <s v="Pack"/>
    <n v="50"/>
    <n v="0"/>
    <n v="2000"/>
    <n v="2000"/>
    <n v="1160"/>
    <n v="840"/>
    <x v="0"/>
    <s v="Delivered"/>
    <x v="0"/>
  </r>
  <r>
    <s v="INV-26-09-0345"/>
    <x v="29"/>
    <s v="FB001"/>
    <x v="2"/>
    <x v="1"/>
    <s v="C007"/>
    <x v="4"/>
    <x v="4"/>
    <n v="202"/>
    <s v="Pack"/>
    <n v="20"/>
    <n v="0"/>
    <n v="4040"/>
    <n v="4040"/>
    <n v="2323"/>
    <n v="1717"/>
    <x v="0"/>
    <s v="Pending"/>
    <x v="1"/>
  </r>
  <r>
    <s v="INV-26-09-0346"/>
    <x v="2"/>
    <s v="FB008"/>
    <x v="8"/>
    <x v="3"/>
    <s v="C007"/>
    <x v="4"/>
    <x v="4"/>
    <n v="127"/>
    <s v="Pack"/>
    <n v="20"/>
    <n v="0.02"/>
    <n v="2540"/>
    <n v="2489.1999999999998"/>
    <n v="1397"/>
    <n v="1092.2"/>
    <x v="1"/>
    <s v="Delivered"/>
    <x v="0"/>
  </r>
  <r>
    <s v="INV-26-09-0347"/>
    <x v="22"/>
    <s v="FB007"/>
    <x v="4"/>
    <x v="3"/>
    <s v="C010"/>
    <x v="13"/>
    <x v="12"/>
    <n v="45"/>
    <s v="Pack"/>
    <n v="40"/>
    <n v="0"/>
    <n v="1800"/>
    <n v="1800"/>
    <n v="1035"/>
    <n v="765"/>
    <x v="1"/>
    <s v="Delivered"/>
    <x v="0"/>
  </r>
  <r>
    <s v="INV-26-09-0348"/>
    <x v="29"/>
    <s v="FB006"/>
    <x v="9"/>
    <x v="4"/>
    <s v="C004"/>
    <x v="1"/>
    <x v="1"/>
    <n v="134"/>
    <s v="Pack"/>
    <n v="15"/>
    <n v="0"/>
    <n v="2010"/>
    <n v="2010"/>
    <n v="1139"/>
    <n v="871"/>
    <x v="3"/>
    <s v="Delivered"/>
    <x v="1"/>
  </r>
  <r>
    <s v="INV-26-09-0349"/>
    <x v="27"/>
    <s v="FB003"/>
    <x v="0"/>
    <x v="0"/>
    <s v="C004"/>
    <x v="1"/>
    <x v="1"/>
    <n v="77"/>
    <s v="Bottle"/>
    <n v="85"/>
    <n v="0.05"/>
    <n v="6545"/>
    <n v="6217.75"/>
    <n v="3927"/>
    <n v="2290.75"/>
    <x v="3"/>
    <s v="Returned"/>
    <x v="1"/>
  </r>
  <r>
    <s v="INV-26-09-0350"/>
    <x v="5"/>
    <s v="FB003"/>
    <x v="0"/>
    <x v="0"/>
    <s v="C006"/>
    <x v="14"/>
    <x v="13"/>
    <n v="144"/>
    <s v="Bottle"/>
    <n v="85"/>
    <n v="0"/>
    <n v="12240"/>
    <n v="12240"/>
    <n v="7344"/>
    <n v="4896"/>
    <x v="2"/>
    <s v="Delivered"/>
    <x v="0"/>
  </r>
  <r>
    <s v="INV-26-09-0351"/>
    <x v="13"/>
    <s v="FB003"/>
    <x v="0"/>
    <x v="0"/>
    <s v="C002"/>
    <x v="7"/>
    <x v="7"/>
    <n v="217"/>
    <s v="Bottle"/>
    <n v="85"/>
    <n v="0.05"/>
    <n v="18445"/>
    <n v="17522.75"/>
    <n v="11067"/>
    <n v="6455.75"/>
    <x v="0"/>
    <s v="Delivered"/>
    <x v="2"/>
  </r>
  <r>
    <s v="INV-26-09-0352"/>
    <x v="21"/>
    <s v="FB003"/>
    <x v="0"/>
    <x v="0"/>
    <s v="C001"/>
    <x v="8"/>
    <x v="8"/>
    <n v="198"/>
    <s v="Bottle"/>
    <n v="85"/>
    <n v="0"/>
    <n v="16830"/>
    <n v="16830"/>
    <n v="10098"/>
    <n v="6732"/>
    <x v="1"/>
    <s v="Delivered"/>
    <x v="0"/>
  </r>
  <r>
    <s v="INV-26-09-0353"/>
    <x v="24"/>
    <s v="FB007"/>
    <x v="4"/>
    <x v="3"/>
    <s v="C007"/>
    <x v="4"/>
    <x v="4"/>
    <n v="104"/>
    <s v="Pack"/>
    <n v="40"/>
    <n v="0.02"/>
    <n v="4160"/>
    <n v="4076.8"/>
    <n v="2392"/>
    <n v="1684.8"/>
    <x v="0"/>
    <s v="Delivered"/>
    <x v="1"/>
  </r>
  <r>
    <s v="INV-26-09-0354"/>
    <x v="16"/>
    <s v="FB003"/>
    <x v="0"/>
    <x v="0"/>
    <s v="C007"/>
    <x v="4"/>
    <x v="4"/>
    <n v="113"/>
    <s v="Bottle"/>
    <n v="85"/>
    <n v="0"/>
    <n v="9605"/>
    <n v="9605"/>
    <n v="5763"/>
    <n v="3842"/>
    <x v="2"/>
    <s v="Delivered"/>
    <x v="2"/>
  </r>
  <r>
    <s v="INV-26-09-0355"/>
    <x v="4"/>
    <s v="FB001"/>
    <x v="2"/>
    <x v="1"/>
    <s v="C005"/>
    <x v="2"/>
    <x v="2"/>
    <n v="200"/>
    <s v="Pack"/>
    <n v="20"/>
    <n v="0.05"/>
    <n v="4000"/>
    <n v="3800"/>
    <n v="2300"/>
    <n v="1500"/>
    <x v="1"/>
    <s v="Delivered"/>
    <x v="0"/>
  </r>
  <r>
    <s v="INV-26-09-0356"/>
    <x v="23"/>
    <s v="FB002"/>
    <x v="6"/>
    <x v="1"/>
    <s v="C005"/>
    <x v="2"/>
    <x v="2"/>
    <n v="56"/>
    <s v="Pack"/>
    <n v="20"/>
    <n v="0.03"/>
    <n v="1120"/>
    <n v="1086.4000000000001"/>
    <n v="660.8"/>
    <n v="425.6"/>
    <x v="3"/>
    <s v="Pending"/>
    <x v="1"/>
  </r>
  <r>
    <s v="INV-26-09-0357"/>
    <x v="29"/>
    <s v="FB007"/>
    <x v="4"/>
    <x v="3"/>
    <s v="C005"/>
    <x v="2"/>
    <x v="2"/>
    <n v="97"/>
    <s v="Pack"/>
    <n v="40"/>
    <n v="0.03"/>
    <n v="3880"/>
    <n v="3763.6"/>
    <n v="2231"/>
    <n v="1532.6"/>
    <x v="2"/>
    <s v="Delivered"/>
    <x v="1"/>
  </r>
  <r>
    <s v="INV-26-09-0358"/>
    <x v="24"/>
    <s v="FB006"/>
    <x v="9"/>
    <x v="4"/>
    <s v="C012"/>
    <x v="6"/>
    <x v="6"/>
    <n v="46"/>
    <s v="Pack"/>
    <n v="15"/>
    <n v="0"/>
    <n v="690"/>
    <n v="690"/>
    <n v="391"/>
    <n v="299"/>
    <x v="1"/>
    <s v="Delivered"/>
    <x v="2"/>
  </r>
  <r>
    <s v="INV-26-09-0359"/>
    <x v="11"/>
    <s v="FB005"/>
    <x v="5"/>
    <x v="2"/>
    <s v="C011"/>
    <x v="10"/>
    <x v="9"/>
    <n v="121"/>
    <s v="Tetra Pack"/>
    <n v="25"/>
    <n v="0.03"/>
    <n v="3025"/>
    <n v="2934.25"/>
    <n v="1718.2"/>
    <n v="1216.05"/>
    <x v="1"/>
    <s v="Delivered"/>
    <x v="1"/>
  </r>
  <r>
    <s v="INV-26-09-0360"/>
    <x v="2"/>
    <s v="FB006"/>
    <x v="9"/>
    <x v="4"/>
    <s v="C003"/>
    <x v="12"/>
    <x v="11"/>
    <n v="195"/>
    <s v="Pack"/>
    <n v="15"/>
    <n v="0"/>
    <n v="2925"/>
    <n v="2925"/>
    <n v="1657.5"/>
    <n v="1267.5"/>
    <x v="2"/>
    <s v="Pending"/>
    <x v="2"/>
  </r>
  <r>
    <s v="INV-26-09-0361"/>
    <x v="11"/>
    <s v="FB001"/>
    <x v="2"/>
    <x v="1"/>
    <s v="C015"/>
    <x v="9"/>
    <x v="8"/>
    <n v="109"/>
    <s v="Pack"/>
    <n v="20"/>
    <n v="0.05"/>
    <n v="2180"/>
    <n v="2071"/>
    <n v="1253.5"/>
    <n v="817.5"/>
    <x v="2"/>
    <s v="Pending"/>
    <x v="2"/>
  </r>
  <r>
    <s v="INV-26-09-0362"/>
    <x v="14"/>
    <s v="FB003"/>
    <x v="0"/>
    <x v="0"/>
    <s v="C007"/>
    <x v="4"/>
    <x v="4"/>
    <n v="183"/>
    <s v="Bottle"/>
    <n v="85"/>
    <n v="0.02"/>
    <n v="15555"/>
    <n v="15243.9"/>
    <n v="9333"/>
    <n v="5910.9"/>
    <x v="2"/>
    <s v="Delivered"/>
    <x v="1"/>
  </r>
  <r>
    <s v="INV-26-09-0363"/>
    <x v="10"/>
    <s v="FB002"/>
    <x v="6"/>
    <x v="1"/>
    <s v="C005"/>
    <x v="2"/>
    <x v="2"/>
    <n v="159"/>
    <s v="Pack"/>
    <n v="20"/>
    <n v="0"/>
    <n v="3180"/>
    <n v="3180"/>
    <n v="1876.2"/>
    <n v="1303.8"/>
    <x v="0"/>
    <s v="Delivered"/>
    <x v="0"/>
  </r>
  <r>
    <s v="INV-26-09-0364"/>
    <x v="23"/>
    <s v="FB003"/>
    <x v="0"/>
    <x v="0"/>
    <s v="C007"/>
    <x v="4"/>
    <x v="4"/>
    <n v="188"/>
    <s v="Bottle"/>
    <n v="85"/>
    <n v="0.03"/>
    <n v="15980"/>
    <n v="15500.6"/>
    <n v="9588"/>
    <n v="5912.6"/>
    <x v="1"/>
    <s v="Delivered"/>
    <x v="1"/>
  </r>
  <r>
    <s v="INV-26-09-0365"/>
    <x v="8"/>
    <s v="FB007"/>
    <x v="4"/>
    <x v="3"/>
    <s v="C006"/>
    <x v="14"/>
    <x v="13"/>
    <n v="152"/>
    <s v="Pack"/>
    <n v="40"/>
    <n v="0"/>
    <n v="6080"/>
    <n v="6080"/>
    <n v="3496"/>
    <n v="2584"/>
    <x v="3"/>
    <s v="Returned"/>
    <x v="1"/>
  </r>
  <r>
    <s v="INV-26-09-0366"/>
    <x v="15"/>
    <s v="FB003"/>
    <x v="0"/>
    <x v="0"/>
    <s v="C005"/>
    <x v="2"/>
    <x v="2"/>
    <n v="72"/>
    <s v="Bottle"/>
    <n v="85"/>
    <n v="0.03"/>
    <n v="6120"/>
    <n v="5936.4"/>
    <n v="3672"/>
    <n v="2264.4"/>
    <x v="3"/>
    <s v="Delivered"/>
    <x v="0"/>
  </r>
  <r>
    <s v="INV-26-09-0367"/>
    <x v="2"/>
    <s v="FB005"/>
    <x v="5"/>
    <x v="2"/>
    <s v="C006"/>
    <x v="14"/>
    <x v="13"/>
    <n v="150"/>
    <s v="Tetra Pack"/>
    <n v="25"/>
    <n v="0.03"/>
    <n v="3750"/>
    <n v="3637.5"/>
    <n v="2130"/>
    <n v="1507.5"/>
    <x v="1"/>
    <s v="Delivered"/>
    <x v="0"/>
  </r>
  <r>
    <s v="INV-26-09-0368"/>
    <x v="11"/>
    <s v="FB004"/>
    <x v="3"/>
    <x v="2"/>
    <s v="C005"/>
    <x v="2"/>
    <x v="2"/>
    <n v="170"/>
    <s v="Tetra Pack"/>
    <n v="25"/>
    <n v="0.02"/>
    <n v="4250"/>
    <n v="4165"/>
    <n v="2380"/>
    <n v="1785"/>
    <x v="1"/>
    <s v="Delivered"/>
    <x v="1"/>
  </r>
  <r>
    <s v="INV-26-09-0369"/>
    <x v="14"/>
    <s v="FB009"/>
    <x v="7"/>
    <x v="1"/>
    <s v="C009"/>
    <x v="11"/>
    <x v="10"/>
    <n v="136"/>
    <s v="Pack"/>
    <n v="35"/>
    <n v="0"/>
    <n v="4760"/>
    <n v="4760"/>
    <n v="2720"/>
    <n v="2040"/>
    <x v="0"/>
    <s v="Pending"/>
    <x v="1"/>
  </r>
  <r>
    <s v="INV-26-09-0370"/>
    <x v="1"/>
    <s v="FB006"/>
    <x v="9"/>
    <x v="4"/>
    <s v="C004"/>
    <x v="1"/>
    <x v="1"/>
    <n v="182"/>
    <s v="Pack"/>
    <n v="15"/>
    <n v="0"/>
    <n v="2730"/>
    <n v="2730"/>
    <n v="1547"/>
    <n v="1183"/>
    <x v="3"/>
    <s v="Returned"/>
    <x v="2"/>
  </r>
  <r>
    <s v="INV-26-09-0371"/>
    <x v="13"/>
    <s v="FB007"/>
    <x v="4"/>
    <x v="3"/>
    <s v="C013"/>
    <x v="0"/>
    <x v="0"/>
    <n v="128"/>
    <s v="Pack"/>
    <n v="40"/>
    <n v="0.03"/>
    <n v="5120"/>
    <n v="4966.3999999999996"/>
    <n v="2944"/>
    <n v="2022.4"/>
    <x v="1"/>
    <s v="Delivered"/>
    <x v="1"/>
  </r>
  <r>
    <s v="INV-26-09-0372"/>
    <x v="13"/>
    <s v="FB007"/>
    <x v="4"/>
    <x v="3"/>
    <s v="C004"/>
    <x v="1"/>
    <x v="1"/>
    <n v="61"/>
    <s v="Pack"/>
    <n v="40"/>
    <n v="0.03"/>
    <n v="2440"/>
    <n v="2366.8000000000002"/>
    <n v="1403"/>
    <n v="963.8"/>
    <x v="1"/>
    <s v="Returned"/>
    <x v="1"/>
  </r>
  <r>
    <s v="INV-26-09-0373"/>
    <x v="28"/>
    <s v="FB005"/>
    <x v="5"/>
    <x v="2"/>
    <s v="C012"/>
    <x v="6"/>
    <x v="6"/>
    <n v="202"/>
    <s v="Tetra Pack"/>
    <n v="25"/>
    <n v="0"/>
    <n v="5050"/>
    <n v="5050"/>
    <n v="2868.4"/>
    <n v="2181.6"/>
    <x v="1"/>
    <s v="Delivered"/>
    <x v="2"/>
  </r>
  <r>
    <s v="INV-26-09-0374"/>
    <x v="13"/>
    <s v="FB003"/>
    <x v="0"/>
    <x v="0"/>
    <s v="C002"/>
    <x v="7"/>
    <x v="7"/>
    <n v="203"/>
    <s v="Bottle"/>
    <n v="85"/>
    <n v="0"/>
    <n v="17255"/>
    <n v="17255"/>
    <n v="10353"/>
    <n v="6902"/>
    <x v="2"/>
    <s v="Delivered"/>
    <x v="1"/>
  </r>
  <r>
    <s v="INV-26-09-0375"/>
    <x v="15"/>
    <s v="FB007"/>
    <x v="4"/>
    <x v="3"/>
    <s v="C002"/>
    <x v="7"/>
    <x v="7"/>
    <n v="33"/>
    <s v="Pack"/>
    <n v="40"/>
    <n v="0.05"/>
    <n v="1320"/>
    <n v="1254"/>
    <n v="759"/>
    <n v="495"/>
    <x v="1"/>
    <s v="Delivered"/>
    <x v="0"/>
  </r>
  <r>
    <s v="INV-26-09-0376"/>
    <x v="27"/>
    <s v="FB006"/>
    <x v="9"/>
    <x v="4"/>
    <s v="C001"/>
    <x v="8"/>
    <x v="8"/>
    <n v="106"/>
    <s v="Pack"/>
    <n v="15"/>
    <n v="0.03"/>
    <n v="1590"/>
    <n v="1542.3"/>
    <n v="901"/>
    <n v="641.29999999999995"/>
    <x v="3"/>
    <s v="Pending"/>
    <x v="2"/>
  </r>
  <r>
    <s v="INV-26-09-0377"/>
    <x v="23"/>
    <s v="FB010"/>
    <x v="1"/>
    <x v="1"/>
    <s v="C003"/>
    <x v="12"/>
    <x v="11"/>
    <n v="180"/>
    <s v="Pack"/>
    <n v="50"/>
    <n v="0.02"/>
    <n v="9000"/>
    <n v="8820"/>
    <n v="5220"/>
    <n v="3600"/>
    <x v="1"/>
    <s v="Delivered"/>
    <x v="2"/>
  </r>
  <r>
    <s v="INV-26-09-0378"/>
    <x v="0"/>
    <s v="FB007"/>
    <x v="4"/>
    <x v="3"/>
    <s v="C012"/>
    <x v="6"/>
    <x v="6"/>
    <n v="208"/>
    <s v="Pack"/>
    <n v="40"/>
    <n v="0.02"/>
    <n v="8320"/>
    <n v="8153.6"/>
    <n v="4784"/>
    <n v="3369.6"/>
    <x v="0"/>
    <s v="Delivered"/>
    <x v="0"/>
  </r>
  <r>
    <s v="INV-26-09-0379"/>
    <x v="13"/>
    <s v="FB007"/>
    <x v="4"/>
    <x v="3"/>
    <s v="C010"/>
    <x v="13"/>
    <x v="12"/>
    <n v="94"/>
    <s v="Pack"/>
    <n v="40"/>
    <n v="0"/>
    <n v="3760"/>
    <n v="3760"/>
    <n v="2162"/>
    <n v="1598"/>
    <x v="2"/>
    <s v="Delivered"/>
    <x v="1"/>
  </r>
  <r>
    <s v="INV-26-09-0380"/>
    <x v="20"/>
    <s v="FB006"/>
    <x v="9"/>
    <x v="4"/>
    <s v="C010"/>
    <x v="13"/>
    <x v="12"/>
    <n v="125"/>
    <s v="Pack"/>
    <n v="15"/>
    <n v="0"/>
    <n v="1875"/>
    <n v="1875"/>
    <n v="1062.5"/>
    <n v="812.5"/>
    <x v="0"/>
    <s v="Pending"/>
    <x v="1"/>
  </r>
  <r>
    <s v="INV-26-09-0381"/>
    <x v="4"/>
    <s v="FB004"/>
    <x v="3"/>
    <x v="2"/>
    <s v="C008"/>
    <x v="3"/>
    <x v="3"/>
    <n v="200"/>
    <s v="Tetra Pack"/>
    <n v="25"/>
    <n v="0.02"/>
    <n v="5000"/>
    <n v="4900"/>
    <n v="2800"/>
    <n v="2100"/>
    <x v="1"/>
    <s v="Returned"/>
    <x v="0"/>
  </r>
  <r>
    <s v="INV-26-09-0382"/>
    <x v="12"/>
    <s v="FB003"/>
    <x v="0"/>
    <x v="0"/>
    <s v="C006"/>
    <x v="14"/>
    <x v="13"/>
    <n v="165"/>
    <s v="Bottle"/>
    <n v="85"/>
    <n v="0.03"/>
    <n v="14025"/>
    <n v="13604.25"/>
    <n v="8415"/>
    <n v="5189.25"/>
    <x v="0"/>
    <s v="Delivered"/>
    <x v="0"/>
  </r>
  <r>
    <s v="INV-26-09-0383"/>
    <x v="26"/>
    <s v="FB003"/>
    <x v="0"/>
    <x v="0"/>
    <s v="C013"/>
    <x v="0"/>
    <x v="0"/>
    <n v="163"/>
    <s v="Bottle"/>
    <n v="85"/>
    <n v="0"/>
    <n v="13855"/>
    <n v="13855"/>
    <n v="8313"/>
    <n v="5542"/>
    <x v="3"/>
    <s v="Delivered"/>
    <x v="1"/>
  </r>
  <r>
    <s v="INV-26-09-0384"/>
    <x v="25"/>
    <s v="FB008"/>
    <x v="8"/>
    <x v="3"/>
    <s v="C011"/>
    <x v="10"/>
    <x v="9"/>
    <n v="109"/>
    <s v="Pack"/>
    <n v="20"/>
    <n v="0.03"/>
    <n v="2180"/>
    <n v="2114.6"/>
    <n v="1199"/>
    <n v="915.6"/>
    <x v="0"/>
    <s v="Delivered"/>
    <x v="1"/>
  </r>
  <r>
    <s v="INV-26-09-0385"/>
    <x v="26"/>
    <s v="FB010"/>
    <x v="1"/>
    <x v="1"/>
    <s v="C011"/>
    <x v="10"/>
    <x v="9"/>
    <n v="21"/>
    <s v="Pack"/>
    <n v="50"/>
    <n v="0.05"/>
    <n v="1050"/>
    <n v="997.5"/>
    <n v="609"/>
    <n v="388.5"/>
    <x v="0"/>
    <s v="Delivered"/>
    <x v="0"/>
  </r>
  <r>
    <s v="INV-26-09-0386"/>
    <x v="13"/>
    <s v="FB005"/>
    <x v="5"/>
    <x v="2"/>
    <s v="C008"/>
    <x v="3"/>
    <x v="3"/>
    <n v="67"/>
    <s v="Tetra Pack"/>
    <n v="25"/>
    <n v="0.03"/>
    <n v="1675"/>
    <n v="1624.75"/>
    <n v="951.4"/>
    <n v="673.35"/>
    <x v="1"/>
    <s v="Pending"/>
    <x v="0"/>
  </r>
  <r>
    <s v="INV-26-09-0387"/>
    <x v="17"/>
    <s v="FB005"/>
    <x v="5"/>
    <x v="2"/>
    <s v="C011"/>
    <x v="10"/>
    <x v="9"/>
    <n v="69"/>
    <s v="Tetra Pack"/>
    <n v="25"/>
    <n v="0"/>
    <n v="1725"/>
    <n v="1725"/>
    <n v="979.8"/>
    <n v="745.2"/>
    <x v="0"/>
    <s v="Delivered"/>
    <x v="2"/>
  </r>
  <r>
    <s v="INV-26-09-0388"/>
    <x v="29"/>
    <s v="FB002"/>
    <x v="6"/>
    <x v="1"/>
    <s v="C012"/>
    <x v="6"/>
    <x v="6"/>
    <n v="208"/>
    <s v="Pack"/>
    <n v="20"/>
    <n v="0.02"/>
    <n v="4160"/>
    <n v="4076.8"/>
    <n v="2454.4"/>
    <n v="1622.4"/>
    <x v="0"/>
    <s v="Pending"/>
    <x v="0"/>
  </r>
  <r>
    <s v="INV-26-09-0389"/>
    <x v="0"/>
    <s v="FB002"/>
    <x v="6"/>
    <x v="1"/>
    <s v="C006"/>
    <x v="14"/>
    <x v="13"/>
    <n v="102"/>
    <s v="Pack"/>
    <n v="20"/>
    <n v="0"/>
    <n v="2040"/>
    <n v="2040"/>
    <n v="1203.5999999999999"/>
    <n v="836.4"/>
    <x v="1"/>
    <s v="Delivered"/>
    <x v="1"/>
  </r>
  <r>
    <s v="INV-26-09-0390"/>
    <x v="7"/>
    <s v="FB002"/>
    <x v="6"/>
    <x v="1"/>
    <s v="C015"/>
    <x v="9"/>
    <x v="8"/>
    <n v="61"/>
    <s v="Pack"/>
    <n v="20"/>
    <n v="0.02"/>
    <n v="1220"/>
    <n v="1195.5999999999999"/>
    <n v="719.8"/>
    <n v="475.8"/>
    <x v="0"/>
    <s v="Delivered"/>
    <x v="1"/>
  </r>
  <r>
    <s v="INV-26-09-0391"/>
    <x v="0"/>
    <s v="FB009"/>
    <x v="7"/>
    <x v="1"/>
    <s v="C008"/>
    <x v="3"/>
    <x v="3"/>
    <n v="204"/>
    <s v="Pack"/>
    <n v="35"/>
    <n v="0.05"/>
    <n v="7140"/>
    <n v="6783"/>
    <n v="4080"/>
    <n v="2703"/>
    <x v="0"/>
    <s v="Delivered"/>
    <x v="1"/>
  </r>
  <r>
    <s v="INV-26-09-0392"/>
    <x v="9"/>
    <s v="FB003"/>
    <x v="0"/>
    <x v="0"/>
    <s v="C006"/>
    <x v="14"/>
    <x v="13"/>
    <n v="123"/>
    <s v="Bottle"/>
    <n v="85"/>
    <n v="0"/>
    <n v="10455"/>
    <n v="10455"/>
    <n v="6273"/>
    <n v="4182"/>
    <x v="3"/>
    <s v="Delivered"/>
    <x v="2"/>
  </r>
  <r>
    <s v="INV-26-09-0393"/>
    <x v="6"/>
    <s v="FB001"/>
    <x v="2"/>
    <x v="1"/>
    <s v="C002"/>
    <x v="7"/>
    <x v="7"/>
    <n v="112"/>
    <s v="Pack"/>
    <n v="20"/>
    <n v="0.02"/>
    <n v="2240"/>
    <n v="2195.1999999999998"/>
    <n v="1288"/>
    <n v="907.2"/>
    <x v="0"/>
    <s v="Pending"/>
    <x v="2"/>
  </r>
  <r>
    <s v="INV-26-09-0394"/>
    <x v="7"/>
    <s v="FB009"/>
    <x v="7"/>
    <x v="1"/>
    <s v="C002"/>
    <x v="7"/>
    <x v="7"/>
    <n v="109"/>
    <s v="Pack"/>
    <n v="35"/>
    <n v="0"/>
    <n v="3815"/>
    <n v="3815"/>
    <n v="2180"/>
    <n v="1635"/>
    <x v="1"/>
    <s v="Returned"/>
    <x v="2"/>
  </r>
  <r>
    <s v="INV-26-09-0395"/>
    <x v="20"/>
    <s v="FB009"/>
    <x v="7"/>
    <x v="1"/>
    <s v="C012"/>
    <x v="6"/>
    <x v="6"/>
    <n v="65"/>
    <s v="Pack"/>
    <n v="35"/>
    <n v="0"/>
    <n v="2275"/>
    <n v="2275"/>
    <n v="1300"/>
    <n v="975"/>
    <x v="2"/>
    <s v="Delivered"/>
    <x v="0"/>
  </r>
  <r>
    <s v="INV-26-09-0396"/>
    <x v="10"/>
    <s v="FB003"/>
    <x v="0"/>
    <x v="0"/>
    <s v="C011"/>
    <x v="10"/>
    <x v="9"/>
    <n v="56"/>
    <s v="Bottle"/>
    <n v="85"/>
    <n v="0.03"/>
    <n v="4760"/>
    <n v="4617.2"/>
    <n v="2856"/>
    <n v="1761.2"/>
    <x v="3"/>
    <s v="Delivered"/>
    <x v="1"/>
  </r>
  <r>
    <s v="INV-26-09-0397"/>
    <x v="23"/>
    <s v="FB006"/>
    <x v="9"/>
    <x v="4"/>
    <s v="C012"/>
    <x v="6"/>
    <x v="6"/>
    <n v="90"/>
    <s v="Pack"/>
    <n v="15"/>
    <n v="0.05"/>
    <n v="1350"/>
    <n v="1282.5"/>
    <n v="765"/>
    <n v="517.5"/>
    <x v="0"/>
    <s v="Delivered"/>
    <x v="1"/>
  </r>
  <r>
    <s v="INV-26-09-0398"/>
    <x v="14"/>
    <s v="FB006"/>
    <x v="9"/>
    <x v="4"/>
    <s v="C001"/>
    <x v="8"/>
    <x v="8"/>
    <n v="176"/>
    <s v="Pack"/>
    <n v="15"/>
    <n v="0"/>
    <n v="2640"/>
    <n v="2640"/>
    <n v="1496"/>
    <n v="1144"/>
    <x v="0"/>
    <s v="Pending"/>
    <x v="1"/>
  </r>
  <r>
    <s v="INV-26-09-0399"/>
    <x v="17"/>
    <s v="FB004"/>
    <x v="3"/>
    <x v="2"/>
    <s v="C011"/>
    <x v="10"/>
    <x v="9"/>
    <n v="97"/>
    <s v="Tetra Pack"/>
    <n v="25"/>
    <n v="0"/>
    <n v="2425"/>
    <n v="2425"/>
    <n v="1358"/>
    <n v="1067"/>
    <x v="0"/>
    <s v="Returned"/>
    <x v="0"/>
  </r>
  <r>
    <s v="INV-26-09-0400"/>
    <x v="23"/>
    <s v="FB008"/>
    <x v="8"/>
    <x v="3"/>
    <s v="C014"/>
    <x v="5"/>
    <x v="5"/>
    <n v="216"/>
    <s v="Pack"/>
    <n v="20"/>
    <n v="0.05"/>
    <n v="4320"/>
    <n v="4104"/>
    <n v="2376"/>
    <n v="1728"/>
    <x v="3"/>
    <s v="Delivered"/>
    <x v="0"/>
  </r>
  <r>
    <s v="INV-26-09-0401"/>
    <x v="0"/>
    <s v="FB007"/>
    <x v="4"/>
    <x v="3"/>
    <s v="C013"/>
    <x v="0"/>
    <x v="0"/>
    <n v="16"/>
    <s v="Pack"/>
    <n v="40"/>
    <n v="0.03"/>
    <n v="640"/>
    <n v="620.79999999999995"/>
    <n v="368"/>
    <n v="252.8"/>
    <x v="3"/>
    <s v="Returned"/>
    <x v="2"/>
  </r>
  <r>
    <s v="INV-26-09-0402"/>
    <x v="27"/>
    <s v="FB005"/>
    <x v="5"/>
    <x v="2"/>
    <s v="C007"/>
    <x v="4"/>
    <x v="4"/>
    <n v="145"/>
    <s v="Tetra Pack"/>
    <n v="25"/>
    <n v="0.02"/>
    <n v="3625"/>
    <n v="3552.5"/>
    <n v="2059"/>
    <n v="1493.5"/>
    <x v="3"/>
    <s v="Delivered"/>
    <x v="1"/>
  </r>
  <r>
    <s v="INV-26-09-0403"/>
    <x v="9"/>
    <s v="FB009"/>
    <x v="7"/>
    <x v="1"/>
    <s v="C012"/>
    <x v="6"/>
    <x v="6"/>
    <n v="112"/>
    <s v="Pack"/>
    <n v="35"/>
    <n v="0.03"/>
    <n v="3920"/>
    <n v="3802.4"/>
    <n v="2240"/>
    <n v="1562.4"/>
    <x v="3"/>
    <s v="Delivered"/>
    <x v="0"/>
  </r>
  <r>
    <s v="INV-26-09-0404"/>
    <x v="13"/>
    <s v="FB009"/>
    <x v="7"/>
    <x v="1"/>
    <s v="C008"/>
    <x v="3"/>
    <x v="3"/>
    <n v="68"/>
    <s v="Pack"/>
    <n v="35"/>
    <n v="0.03"/>
    <n v="2380"/>
    <n v="2308.6"/>
    <n v="1360"/>
    <n v="948.6"/>
    <x v="2"/>
    <s v="Returned"/>
    <x v="2"/>
  </r>
  <r>
    <s v="INV-26-09-0405"/>
    <x v="17"/>
    <s v="FB007"/>
    <x v="4"/>
    <x v="3"/>
    <s v="C004"/>
    <x v="1"/>
    <x v="1"/>
    <n v="54"/>
    <s v="Pack"/>
    <n v="40"/>
    <n v="0"/>
    <n v="2160"/>
    <n v="2160"/>
    <n v="1242"/>
    <n v="918"/>
    <x v="3"/>
    <s v="Delivered"/>
    <x v="1"/>
  </r>
  <r>
    <s v="INV-26-09-0406"/>
    <x v="22"/>
    <s v="FB005"/>
    <x v="5"/>
    <x v="2"/>
    <s v="C011"/>
    <x v="10"/>
    <x v="9"/>
    <n v="123"/>
    <s v="Tetra Pack"/>
    <n v="25"/>
    <n v="0"/>
    <n v="3075"/>
    <n v="3075"/>
    <n v="1746.6"/>
    <n v="1328.4"/>
    <x v="3"/>
    <s v="Delivered"/>
    <x v="1"/>
  </r>
  <r>
    <s v="INV-26-09-0407"/>
    <x v="29"/>
    <s v="FB007"/>
    <x v="4"/>
    <x v="3"/>
    <s v="C003"/>
    <x v="12"/>
    <x v="11"/>
    <n v="16"/>
    <s v="Pack"/>
    <n v="40"/>
    <n v="0.02"/>
    <n v="640"/>
    <n v="627.20000000000005"/>
    <n v="368"/>
    <n v="259.2"/>
    <x v="2"/>
    <s v="Delivered"/>
    <x v="2"/>
  </r>
  <r>
    <s v="INV-26-09-0408"/>
    <x v="6"/>
    <s v="FB006"/>
    <x v="9"/>
    <x v="4"/>
    <s v="C005"/>
    <x v="2"/>
    <x v="2"/>
    <n v="220"/>
    <s v="Pack"/>
    <n v="15"/>
    <n v="0"/>
    <n v="3300"/>
    <n v="3300"/>
    <n v="1870"/>
    <n v="1430"/>
    <x v="2"/>
    <s v="Delivered"/>
    <x v="1"/>
  </r>
  <r>
    <s v="INV-26-09-0409"/>
    <x v="12"/>
    <s v="FB001"/>
    <x v="2"/>
    <x v="1"/>
    <s v="C011"/>
    <x v="10"/>
    <x v="9"/>
    <n v="182"/>
    <s v="Pack"/>
    <n v="20"/>
    <n v="0.02"/>
    <n v="3640"/>
    <n v="3567.2"/>
    <n v="2093"/>
    <n v="1474.2"/>
    <x v="0"/>
    <s v="Returned"/>
    <x v="0"/>
  </r>
  <r>
    <s v="INV-26-09-0410"/>
    <x v="6"/>
    <s v="FB005"/>
    <x v="5"/>
    <x v="2"/>
    <s v="C007"/>
    <x v="4"/>
    <x v="4"/>
    <n v="42"/>
    <s v="Tetra Pack"/>
    <n v="25"/>
    <n v="0"/>
    <n v="1050"/>
    <n v="1050"/>
    <n v="596.4"/>
    <n v="453.6"/>
    <x v="0"/>
    <s v="Returned"/>
    <x v="2"/>
  </r>
  <r>
    <s v="INV-26-09-0411"/>
    <x v="13"/>
    <s v="FB009"/>
    <x v="7"/>
    <x v="1"/>
    <s v="C010"/>
    <x v="13"/>
    <x v="12"/>
    <n v="206"/>
    <s v="Pack"/>
    <n v="35"/>
    <n v="0"/>
    <n v="7210"/>
    <n v="7210"/>
    <n v="4120"/>
    <n v="3090"/>
    <x v="0"/>
    <s v="Delivered"/>
    <x v="1"/>
  </r>
  <r>
    <s v="INV-26-09-0412"/>
    <x v="17"/>
    <s v="FB009"/>
    <x v="7"/>
    <x v="1"/>
    <s v="C013"/>
    <x v="0"/>
    <x v="0"/>
    <n v="64"/>
    <s v="Pack"/>
    <n v="35"/>
    <n v="0.02"/>
    <n v="2240"/>
    <n v="2195.1999999999998"/>
    <n v="1280"/>
    <n v="915.2"/>
    <x v="0"/>
    <s v="Delivered"/>
    <x v="2"/>
  </r>
  <r>
    <s v="INV-26-09-0413"/>
    <x v="24"/>
    <s v="FB001"/>
    <x v="2"/>
    <x v="1"/>
    <s v="C008"/>
    <x v="3"/>
    <x v="3"/>
    <n v="151"/>
    <s v="Pack"/>
    <n v="20"/>
    <n v="0.05"/>
    <n v="3020"/>
    <n v="2869"/>
    <n v="1736.5"/>
    <n v="1132.5"/>
    <x v="1"/>
    <s v="Returned"/>
    <x v="2"/>
  </r>
  <r>
    <s v="INV-26-09-0414"/>
    <x v="27"/>
    <s v="FB003"/>
    <x v="0"/>
    <x v="0"/>
    <s v="C009"/>
    <x v="11"/>
    <x v="10"/>
    <n v="28"/>
    <s v="Bottle"/>
    <n v="85"/>
    <n v="0.05"/>
    <n v="2380"/>
    <n v="2261"/>
    <n v="1428"/>
    <n v="833"/>
    <x v="2"/>
    <s v="Returned"/>
    <x v="0"/>
  </r>
  <r>
    <s v="INV-26-09-0415"/>
    <x v="9"/>
    <s v="FB010"/>
    <x v="1"/>
    <x v="1"/>
    <s v="C004"/>
    <x v="1"/>
    <x v="1"/>
    <n v="55"/>
    <s v="Pack"/>
    <n v="50"/>
    <n v="0.03"/>
    <n v="2750"/>
    <n v="2667.5"/>
    <n v="1595"/>
    <n v="1072.5"/>
    <x v="2"/>
    <s v="Delivered"/>
    <x v="0"/>
  </r>
  <r>
    <s v="INV-26-09-0416"/>
    <x v="22"/>
    <s v="FB002"/>
    <x v="6"/>
    <x v="1"/>
    <s v="C015"/>
    <x v="9"/>
    <x v="8"/>
    <n v="49"/>
    <s v="Pack"/>
    <n v="20"/>
    <n v="0.02"/>
    <n v="980"/>
    <n v="960.4"/>
    <n v="578.20000000000005"/>
    <n v="382.2"/>
    <x v="2"/>
    <s v="Pending"/>
    <x v="0"/>
  </r>
  <r>
    <s v="INV-26-09-0417"/>
    <x v="21"/>
    <s v="FB010"/>
    <x v="1"/>
    <x v="1"/>
    <s v="C005"/>
    <x v="2"/>
    <x v="2"/>
    <n v="173"/>
    <s v="Pack"/>
    <n v="50"/>
    <n v="0.03"/>
    <n v="8650"/>
    <n v="8390.5"/>
    <n v="5017"/>
    <n v="3373.5"/>
    <x v="0"/>
    <s v="Delivered"/>
    <x v="1"/>
  </r>
  <r>
    <s v="INV-26-09-0418"/>
    <x v="19"/>
    <s v="FB003"/>
    <x v="0"/>
    <x v="0"/>
    <s v="C012"/>
    <x v="6"/>
    <x v="6"/>
    <n v="103"/>
    <s v="Bottle"/>
    <n v="85"/>
    <n v="0.05"/>
    <n v="8755"/>
    <n v="8317.25"/>
    <n v="5253"/>
    <n v="3064.25"/>
    <x v="0"/>
    <s v="Pending"/>
    <x v="1"/>
  </r>
  <r>
    <s v="INV-26-09-0419"/>
    <x v="5"/>
    <s v="FB010"/>
    <x v="1"/>
    <x v="1"/>
    <s v="C008"/>
    <x v="3"/>
    <x v="3"/>
    <n v="210"/>
    <s v="Pack"/>
    <n v="50"/>
    <n v="0"/>
    <n v="10500"/>
    <n v="10500"/>
    <n v="6090"/>
    <n v="4410"/>
    <x v="1"/>
    <s v="Returned"/>
    <x v="2"/>
  </r>
  <r>
    <s v="INV-26-09-0420"/>
    <x v="25"/>
    <s v="FB007"/>
    <x v="4"/>
    <x v="3"/>
    <s v="C013"/>
    <x v="0"/>
    <x v="0"/>
    <n v="153"/>
    <s v="Pack"/>
    <n v="40"/>
    <n v="0.05"/>
    <n v="6120"/>
    <n v="5814"/>
    <n v="3519"/>
    <n v="2295"/>
    <x v="2"/>
    <s v="Pending"/>
    <x v="1"/>
  </r>
  <r>
    <s v="INV-26-09-0421"/>
    <x v="24"/>
    <s v="FB010"/>
    <x v="1"/>
    <x v="1"/>
    <s v="C008"/>
    <x v="3"/>
    <x v="3"/>
    <n v="181"/>
    <s v="Pack"/>
    <n v="50"/>
    <n v="0.05"/>
    <n v="9050"/>
    <n v="8597.5"/>
    <n v="5249"/>
    <n v="3348.5"/>
    <x v="0"/>
    <s v="Returned"/>
    <x v="2"/>
  </r>
  <r>
    <s v="INV-26-09-0422"/>
    <x v="4"/>
    <s v="FB006"/>
    <x v="9"/>
    <x v="4"/>
    <s v="C007"/>
    <x v="4"/>
    <x v="4"/>
    <n v="83"/>
    <s v="Pack"/>
    <n v="15"/>
    <n v="0"/>
    <n v="1245"/>
    <n v="1245"/>
    <n v="705.5"/>
    <n v="539.5"/>
    <x v="3"/>
    <s v="Delivered"/>
    <x v="1"/>
  </r>
  <r>
    <s v="INV-26-09-0423"/>
    <x v="16"/>
    <s v="FB010"/>
    <x v="1"/>
    <x v="1"/>
    <s v="C013"/>
    <x v="0"/>
    <x v="0"/>
    <n v="57"/>
    <s v="Pack"/>
    <n v="50"/>
    <n v="0.02"/>
    <n v="2850"/>
    <n v="2793"/>
    <n v="1653"/>
    <n v="1140"/>
    <x v="2"/>
    <s v="Delivered"/>
    <x v="2"/>
  </r>
  <r>
    <s v="INV-26-09-0424"/>
    <x v="1"/>
    <s v="FB009"/>
    <x v="7"/>
    <x v="1"/>
    <s v="C007"/>
    <x v="4"/>
    <x v="4"/>
    <n v="108"/>
    <s v="Pack"/>
    <n v="35"/>
    <n v="0"/>
    <n v="3780"/>
    <n v="3780"/>
    <n v="2160"/>
    <n v="1620"/>
    <x v="0"/>
    <s v="Delivered"/>
    <x v="2"/>
  </r>
  <r>
    <s v="INV-26-09-0425"/>
    <x v="4"/>
    <s v="FB006"/>
    <x v="9"/>
    <x v="4"/>
    <s v="C012"/>
    <x v="6"/>
    <x v="6"/>
    <n v="122"/>
    <s v="Pack"/>
    <n v="15"/>
    <n v="0.05"/>
    <n v="1830"/>
    <n v="1738.5"/>
    <n v="1037"/>
    <n v="701.5"/>
    <x v="0"/>
    <s v="Delivered"/>
    <x v="2"/>
  </r>
  <r>
    <s v="INV-26-09-0426"/>
    <x v="29"/>
    <s v="FB007"/>
    <x v="4"/>
    <x v="3"/>
    <s v="C012"/>
    <x v="6"/>
    <x v="6"/>
    <n v="196"/>
    <s v="Pack"/>
    <n v="40"/>
    <n v="0.03"/>
    <n v="7840"/>
    <n v="7604.8"/>
    <n v="4508"/>
    <n v="3096.8"/>
    <x v="1"/>
    <s v="Pending"/>
    <x v="1"/>
  </r>
  <r>
    <s v="INV-26-09-0427"/>
    <x v="4"/>
    <s v="FB004"/>
    <x v="3"/>
    <x v="2"/>
    <s v="C008"/>
    <x v="3"/>
    <x v="3"/>
    <n v="21"/>
    <s v="Tetra Pack"/>
    <n v="25"/>
    <n v="0.02"/>
    <n v="525"/>
    <n v="514.5"/>
    <n v="294"/>
    <n v="220.5"/>
    <x v="1"/>
    <s v="Delivered"/>
    <x v="2"/>
  </r>
  <r>
    <s v="INV-26-09-0428"/>
    <x v="20"/>
    <s v="FB010"/>
    <x v="1"/>
    <x v="1"/>
    <s v="C002"/>
    <x v="7"/>
    <x v="7"/>
    <n v="111"/>
    <s v="Pack"/>
    <n v="50"/>
    <n v="0.05"/>
    <n v="5550"/>
    <n v="5272.5"/>
    <n v="3219"/>
    <n v="2053.5"/>
    <x v="3"/>
    <s v="Delivered"/>
    <x v="0"/>
  </r>
  <r>
    <s v="INV-26-09-0429"/>
    <x v="23"/>
    <s v="FB008"/>
    <x v="8"/>
    <x v="3"/>
    <s v="C009"/>
    <x v="11"/>
    <x v="10"/>
    <n v="161"/>
    <s v="Pack"/>
    <n v="20"/>
    <n v="0"/>
    <n v="3220"/>
    <n v="3220"/>
    <n v="1771"/>
    <n v="1449"/>
    <x v="3"/>
    <s v="Pending"/>
    <x v="1"/>
  </r>
  <r>
    <s v="INV-26-09-0430"/>
    <x v="12"/>
    <s v="FB006"/>
    <x v="9"/>
    <x v="4"/>
    <s v="C001"/>
    <x v="8"/>
    <x v="8"/>
    <n v="120"/>
    <s v="Pack"/>
    <n v="15"/>
    <n v="0.02"/>
    <n v="1800"/>
    <n v="1764"/>
    <n v="1020"/>
    <n v="744"/>
    <x v="0"/>
    <s v="Delivered"/>
    <x v="2"/>
  </r>
  <r>
    <s v="INV-26-09-0431"/>
    <x v="18"/>
    <s v="FB007"/>
    <x v="4"/>
    <x v="3"/>
    <s v="C003"/>
    <x v="12"/>
    <x v="11"/>
    <n v="35"/>
    <s v="Pack"/>
    <n v="40"/>
    <n v="0.05"/>
    <n v="1400"/>
    <n v="1330"/>
    <n v="805"/>
    <n v="525"/>
    <x v="3"/>
    <s v="Delivered"/>
    <x v="2"/>
  </r>
  <r>
    <s v="INV-26-09-0432"/>
    <x v="23"/>
    <s v="FB007"/>
    <x v="4"/>
    <x v="3"/>
    <s v="C011"/>
    <x v="10"/>
    <x v="9"/>
    <n v="190"/>
    <s v="Pack"/>
    <n v="40"/>
    <n v="0.02"/>
    <n v="7600"/>
    <n v="7448"/>
    <n v="4370"/>
    <n v="3078"/>
    <x v="3"/>
    <s v="Returned"/>
    <x v="1"/>
  </r>
  <r>
    <s v="INV-26-09-0433"/>
    <x v="2"/>
    <s v="FB001"/>
    <x v="2"/>
    <x v="1"/>
    <s v="C011"/>
    <x v="10"/>
    <x v="9"/>
    <n v="130"/>
    <s v="Pack"/>
    <n v="20"/>
    <n v="0"/>
    <n v="2600"/>
    <n v="2600"/>
    <n v="1495"/>
    <n v="1105"/>
    <x v="3"/>
    <s v="Delivered"/>
    <x v="0"/>
  </r>
  <r>
    <s v="INV-26-09-0434"/>
    <x v="1"/>
    <s v="FB003"/>
    <x v="0"/>
    <x v="0"/>
    <s v="C007"/>
    <x v="4"/>
    <x v="4"/>
    <n v="108"/>
    <s v="Bottle"/>
    <n v="85"/>
    <n v="0.05"/>
    <n v="9180"/>
    <n v="8721"/>
    <n v="5508"/>
    <n v="3213"/>
    <x v="0"/>
    <s v="Delivered"/>
    <x v="0"/>
  </r>
  <r>
    <s v="INV-26-09-0435"/>
    <x v="13"/>
    <s v="FB005"/>
    <x v="5"/>
    <x v="2"/>
    <s v="C011"/>
    <x v="10"/>
    <x v="9"/>
    <n v="215"/>
    <s v="Tetra Pack"/>
    <n v="25"/>
    <n v="0"/>
    <n v="5375"/>
    <n v="5375"/>
    <n v="3053"/>
    <n v="2322"/>
    <x v="1"/>
    <s v="Delivered"/>
    <x v="1"/>
  </r>
  <r>
    <s v="INV-26-09-0436"/>
    <x v="1"/>
    <s v="FB006"/>
    <x v="9"/>
    <x v="4"/>
    <s v="C010"/>
    <x v="13"/>
    <x v="12"/>
    <n v="97"/>
    <s v="Pack"/>
    <n v="15"/>
    <n v="0.02"/>
    <n v="1455"/>
    <n v="1425.9"/>
    <n v="824.5"/>
    <n v="601.4"/>
    <x v="0"/>
    <s v="Delivered"/>
    <x v="1"/>
  </r>
  <r>
    <s v="INV-26-09-0437"/>
    <x v="9"/>
    <s v="FB003"/>
    <x v="0"/>
    <x v="0"/>
    <s v="C012"/>
    <x v="6"/>
    <x v="6"/>
    <n v="93"/>
    <s v="Bottle"/>
    <n v="85"/>
    <n v="0"/>
    <n v="7905"/>
    <n v="7905"/>
    <n v="4743"/>
    <n v="3162"/>
    <x v="1"/>
    <s v="Delivered"/>
    <x v="1"/>
  </r>
  <r>
    <s v="INV-26-09-0438"/>
    <x v="22"/>
    <s v="FB006"/>
    <x v="9"/>
    <x v="4"/>
    <s v="C007"/>
    <x v="4"/>
    <x v="4"/>
    <n v="211"/>
    <s v="Pack"/>
    <n v="15"/>
    <n v="0.05"/>
    <n v="3165"/>
    <n v="3006.75"/>
    <n v="1793.5"/>
    <n v="1213.25"/>
    <x v="3"/>
    <s v="Delivered"/>
    <x v="0"/>
  </r>
  <r>
    <s v="INV-26-09-0439"/>
    <x v="20"/>
    <s v="FB001"/>
    <x v="2"/>
    <x v="1"/>
    <s v="C002"/>
    <x v="7"/>
    <x v="7"/>
    <n v="69"/>
    <s v="Pack"/>
    <n v="20"/>
    <n v="0"/>
    <n v="1380"/>
    <n v="1380"/>
    <n v="793.5"/>
    <n v="586.5"/>
    <x v="2"/>
    <s v="Pending"/>
    <x v="1"/>
  </r>
  <r>
    <s v="INV-26-09-0440"/>
    <x v="20"/>
    <s v="FB009"/>
    <x v="7"/>
    <x v="1"/>
    <s v="C002"/>
    <x v="7"/>
    <x v="7"/>
    <n v="192"/>
    <s v="Pack"/>
    <n v="35"/>
    <n v="0.05"/>
    <n v="6720"/>
    <n v="6384"/>
    <n v="3840"/>
    <n v="2544"/>
    <x v="3"/>
    <s v="Delivered"/>
    <x v="1"/>
  </r>
  <r>
    <s v="INV-26-09-0441"/>
    <x v="5"/>
    <s v="FB002"/>
    <x v="6"/>
    <x v="1"/>
    <s v="C015"/>
    <x v="9"/>
    <x v="8"/>
    <n v="152"/>
    <s v="Pack"/>
    <n v="20"/>
    <n v="0"/>
    <n v="3040"/>
    <n v="3040"/>
    <n v="1793.6"/>
    <n v="1246.4000000000001"/>
    <x v="0"/>
    <s v="Returned"/>
    <x v="1"/>
  </r>
  <r>
    <s v="INV-26-09-0442"/>
    <x v="27"/>
    <s v="FB004"/>
    <x v="3"/>
    <x v="2"/>
    <s v="C013"/>
    <x v="0"/>
    <x v="0"/>
    <n v="110"/>
    <s v="Tetra Pack"/>
    <n v="25"/>
    <n v="0.03"/>
    <n v="2750"/>
    <n v="2667.5"/>
    <n v="1540"/>
    <n v="1127.5"/>
    <x v="0"/>
    <s v="Delivered"/>
    <x v="0"/>
  </r>
  <r>
    <s v="INV-26-09-0443"/>
    <x v="3"/>
    <s v="FB009"/>
    <x v="7"/>
    <x v="1"/>
    <s v="C005"/>
    <x v="2"/>
    <x v="2"/>
    <n v="30"/>
    <s v="Pack"/>
    <n v="35"/>
    <n v="0.03"/>
    <n v="1050"/>
    <n v="1018.5"/>
    <n v="600"/>
    <n v="418.5"/>
    <x v="0"/>
    <s v="Delivered"/>
    <x v="0"/>
  </r>
  <r>
    <s v="INV-26-09-0444"/>
    <x v="25"/>
    <s v="FB010"/>
    <x v="1"/>
    <x v="1"/>
    <s v="C006"/>
    <x v="14"/>
    <x v="13"/>
    <n v="85"/>
    <s v="Pack"/>
    <n v="50"/>
    <n v="0.03"/>
    <n v="4250"/>
    <n v="4122.5"/>
    <n v="2465"/>
    <n v="1657.5"/>
    <x v="0"/>
    <s v="Pending"/>
    <x v="2"/>
  </r>
  <r>
    <s v="INV-26-09-0445"/>
    <x v="4"/>
    <s v="FB005"/>
    <x v="5"/>
    <x v="2"/>
    <s v="C014"/>
    <x v="5"/>
    <x v="5"/>
    <n v="191"/>
    <s v="Tetra Pack"/>
    <n v="25"/>
    <n v="0.02"/>
    <n v="4775"/>
    <n v="4679.5"/>
    <n v="2712.2"/>
    <n v="1967.3"/>
    <x v="1"/>
    <s v="Delivered"/>
    <x v="1"/>
  </r>
  <r>
    <s v="INV-26-09-0446"/>
    <x v="18"/>
    <s v="FB010"/>
    <x v="1"/>
    <x v="1"/>
    <s v="C015"/>
    <x v="9"/>
    <x v="8"/>
    <n v="66"/>
    <s v="Pack"/>
    <n v="50"/>
    <n v="0"/>
    <n v="3300"/>
    <n v="3300"/>
    <n v="1914"/>
    <n v="1386"/>
    <x v="1"/>
    <s v="Delivered"/>
    <x v="2"/>
  </r>
  <r>
    <s v="INV-26-09-0447"/>
    <x v="0"/>
    <s v="FB001"/>
    <x v="2"/>
    <x v="1"/>
    <s v="C006"/>
    <x v="14"/>
    <x v="13"/>
    <n v="184"/>
    <s v="Pack"/>
    <n v="20"/>
    <n v="0"/>
    <n v="3680"/>
    <n v="3680"/>
    <n v="2116"/>
    <n v="1564"/>
    <x v="0"/>
    <s v="Delivered"/>
    <x v="1"/>
  </r>
  <r>
    <s v="INV-26-09-0448"/>
    <x v="22"/>
    <s v="FB004"/>
    <x v="3"/>
    <x v="2"/>
    <s v="C003"/>
    <x v="12"/>
    <x v="11"/>
    <n v="40"/>
    <s v="Tetra Pack"/>
    <n v="25"/>
    <n v="0.03"/>
    <n v="1000"/>
    <n v="970"/>
    <n v="560"/>
    <n v="410"/>
    <x v="3"/>
    <s v="Delivered"/>
    <x v="2"/>
  </r>
  <r>
    <s v="INV-26-09-0449"/>
    <x v="18"/>
    <s v="FB004"/>
    <x v="3"/>
    <x v="2"/>
    <s v="C003"/>
    <x v="12"/>
    <x v="11"/>
    <n v="119"/>
    <s v="Tetra Pack"/>
    <n v="25"/>
    <n v="0.02"/>
    <n v="2975"/>
    <n v="2915.5"/>
    <n v="1666"/>
    <n v="1249.5"/>
    <x v="3"/>
    <s v="Delivered"/>
    <x v="1"/>
  </r>
  <r>
    <s v="INV-26-09-0450"/>
    <x v="16"/>
    <s v="FB010"/>
    <x v="1"/>
    <x v="1"/>
    <s v="C004"/>
    <x v="1"/>
    <x v="1"/>
    <n v="176"/>
    <s v="Pack"/>
    <n v="50"/>
    <n v="0"/>
    <n v="8800"/>
    <n v="8800"/>
    <n v="5104"/>
    <n v="3696"/>
    <x v="1"/>
    <s v="Deliver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D3D7B-30A8-4FCA-AF79-78006333D816}" name="PivotTable10"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57:B65" firstHeaderRow="1" firstDataRow="1" firstDataCol="1"/>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compact="0" outline="0" showAll="0">
      <items count="11">
        <item x="4"/>
        <item x="2"/>
        <item x="8"/>
        <item x="9"/>
        <item x="3"/>
        <item x="6"/>
        <item x="1"/>
        <item x="5"/>
        <item x="7"/>
        <item x="0"/>
        <item t="default"/>
      </items>
    </pivotField>
    <pivotField compact="0" outline="0" showAll="0">
      <items count="6">
        <item x="3"/>
        <item x="2"/>
        <item x="4"/>
        <item x="0"/>
        <item x="1"/>
        <item t="default"/>
      </items>
    </pivotField>
    <pivotField compact="0" outline="0" showAll="0"/>
    <pivotField axis="axisRow" compact="0" outline="0" showAll="0">
      <items count="16">
        <item x="14"/>
        <item x="12"/>
        <item x="2"/>
        <item x="7"/>
        <item x="13"/>
        <item x="9"/>
        <item x="3"/>
        <item x="1"/>
        <item x="4"/>
        <item x="5"/>
        <item x="6"/>
        <item x="10"/>
        <item x="11"/>
        <item x="8"/>
        <item x="0"/>
        <item t="default"/>
      </items>
    </pivotField>
    <pivotField compact="0" outline="0" showAll="0">
      <items count="15">
        <item x="9"/>
        <item x="3"/>
        <item x="5"/>
        <item x="8"/>
        <item x="12"/>
        <item x="6"/>
        <item x="2"/>
        <item x="10"/>
        <item x="13"/>
        <item x="0"/>
        <item x="4"/>
        <item x="11"/>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8">
    <i>
      <x v="3"/>
    </i>
    <i>
      <x v="4"/>
    </i>
    <i>
      <x v="6"/>
    </i>
    <i>
      <x v="7"/>
    </i>
    <i>
      <x v="8"/>
    </i>
    <i>
      <x v="9"/>
    </i>
    <i>
      <x v="10"/>
    </i>
    <i t="grand">
      <x/>
    </i>
  </rowItems>
  <colItems count="1">
    <i/>
  </colItems>
  <dataFields count="1">
    <dataField name="Sum of Net Sales (INR)" fld="13" baseField="0" baseItem="0" numFmtId="1"/>
  </dataFields>
  <formats count="2">
    <format dxfId="1">
      <pivotArea outline="0" collapsedLevelsAreSubtotals="1" fieldPosition="0"/>
    </format>
    <format dxfId="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AEB755-27A0-433C-A9DD-E29B382AE3D1}" name="PivotTable9"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42:B47" firstHeaderRow="1" firstDataRow="1" firstDataCol="1"/>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compact="0" outline="0" showAll="0">
      <items count="11">
        <item x="4"/>
        <item x="2"/>
        <item x="8"/>
        <item x="9"/>
        <item x="3"/>
        <item x="6"/>
        <item x="1"/>
        <item x="5"/>
        <item x="7"/>
        <item x="0"/>
        <item t="default"/>
      </items>
    </pivotField>
    <pivotField axis="axisRow" compact="0" outline="0" showAll="0">
      <items count="6">
        <item x="3"/>
        <item x="2"/>
        <item x="4"/>
        <item x="0"/>
        <item x="1"/>
        <item t="default"/>
      </items>
    </pivotField>
    <pivotField compact="0" outline="0" showAll="0"/>
    <pivotField compact="0" outline="0" showAll="0"/>
    <pivotField compact="0" outline="0" showAll="0">
      <items count="15">
        <item x="9"/>
        <item x="3"/>
        <item x="5"/>
        <item x="8"/>
        <item x="12"/>
        <item x="6"/>
        <item x="2"/>
        <item x="10"/>
        <item x="13"/>
        <item x="0"/>
        <item x="4"/>
        <item x="11"/>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1"/>
    </i>
    <i>
      <x v="2"/>
    </i>
    <i>
      <x v="4"/>
    </i>
    <i t="grand">
      <x/>
    </i>
  </rowItems>
  <colItems count="1">
    <i/>
  </colItems>
  <dataFields count="1">
    <dataField name="Sum of Net Sales (INR)" fld="13" baseField="0" baseItem="0" numFmtId="1"/>
  </dataFields>
  <formats count="2">
    <format dxfId="3">
      <pivotArea outline="0" collapsedLevelsAreSubtotals="1" fieldPosition="0"/>
    </format>
    <format dxfId="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2">
          <reference field="4294967294" count="1" selected="0">
            <x v="0"/>
          </reference>
          <reference field="4" count="1" selected="0">
            <x v="2"/>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 chart="3" format="4">
      <pivotArea type="data" outline="0" fieldPosition="0">
        <references count="2">
          <reference field="4294967294" count="1" selected="0">
            <x v="0"/>
          </reference>
          <reference field="4" count="1" selected="0">
            <x v="4"/>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 chart="7" format="15">
      <pivotArea type="data" outline="0" fieldPosition="0">
        <references count="2">
          <reference field="4294967294" count="1" selected="0">
            <x v="0"/>
          </reference>
          <reference field="4" count="1" selected="0">
            <x v="2"/>
          </reference>
        </references>
      </pivotArea>
    </chartFormat>
    <chartFormat chart="7" format="16">
      <pivotArea type="data" outline="0" fieldPosition="0">
        <references count="2">
          <reference field="4294967294" count="1" selected="0">
            <x v="0"/>
          </reference>
          <reference field="4" count="1" selected="0">
            <x v="3"/>
          </reference>
        </references>
      </pivotArea>
    </chartFormat>
    <chartFormat chart="7"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A61153-7BB5-49C7-B039-778AC2FE680E}" name="PivotTable8"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1:B29" firstHeaderRow="1" firstDataRow="1" firstDataCol="1"/>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compact="0" outline="0" showAll="0">
      <items count="11">
        <item x="4"/>
        <item x="2"/>
        <item x="8"/>
        <item x="9"/>
        <item x="3"/>
        <item x="6"/>
        <item x="1"/>
        <item x="5"/>
        <item x="7"/>
        <item x="0"/>
        <item t="default"/>
      </items>
    </pivotField>
    <pivotField compact="0" outline="0" showAll="0"/>
    <pivotField compact="0" outline="0" showAll="0"/>
    <pivotField compact="0" outline="0" showAll="0"/>
    <pivotField axis="axisRow" compact="0" outline="0" showAll="0">
      <items count="15">
        <item x="9"/>
        <item x="3"/>
        <item x="5"/>
        <item x="8"/>
        <item x="12"/>
        <item x="6"/>
        <item x="2"/>
        <item x="10"/>
        <item x="13"/>
        <item x="0"/>
        <item x="4"/>
        <item x="11"/>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8">
    <i>
      <x v="1"/>
    </i>
    <i>
      <x v="2"/>
    </i>
    <i>
      <x v="4"/>
    </i>
    <i>
      <x v="5"/>
    </i>
    <i>
      <x v="10"/>
    </i>
    <i>
      <x v="12"/>
    </i>
    <i>
      <x v="13"/>
    </i>
    <i t="grand">
      <x/>
    </i>
  </rowItems>
  <colItems count="1">
    <i/>
  </colItems>
  <dataFields count="1">
    <dataField name="Sum of Net Sales (INR)" fld="13" baseField="0" baseItem="0" numFmtId="1"/>
  </dataFields>
  <formats count="2">
    <format dxfId="5">
      <pivotArea outline="0" collapsedLevelsAreSubtotals="1" fieldPosition="0"/>
    </format>
    <format dxfId="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65D4A-46FB-4CEC-B527-9D5991DB0D8A}" name="PivotTable14"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10:E111" firstHeaderRow="0" firstDataRow="1" firstDataCol="0"/>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compact="0" outline="0" showAll="0">
      <items count="11">
        <item x="4"/>
        <item x="2"/>
        <item x="8"/>
        <item x="9"/>
        <item x="3"/>
        <item x="6"/>
        <item x="1"/>
        <item x="5"/>
        <item x="7"/>
        <item x="0"/>
        <item t="default"/>
      </items>
    </pivotField>
    <pivotField compact="0" outline="0" showAll="0">
      <items count="6">
        <item x="3"/>
        <item x="2"/>
        <item x="4"/>
        <item x="0"/>
        <item x="1"/>
        <item t="default"/>
      </items>
    </pivotField>
    <pivotField compact="0" outline="0" showAll="0"/>
    <pivotField compact="0" outline="0" showAll="0">
      <items count="16">
        <item x="14"/>
        <item x="12"/>
        <item x="2"/>
        <item x="7"/>
        <item x="13"/>
        <item x="9"/>
        <item x="3"/>
        <item x="1"/>
        <item x="4"/>
        <item x="5"/>
        <item x="6"/>
        <item x="10"/>
        <item x="11"/>
        <item x="8"/>
        <item x="0"/>
        <item t="default"/>
      </items>
    </pivotField>
    <pivotField compact="0" outline="0" showAll="0">
      <items count="15">
        <item x="9"/>
        <item x="3"/>
        <item x="5"/>
        <item x="8"/>
        <item x="12"/>
        <item x="6"/>
        <item x="2"/>
        <item x="10"/>
        <item x="13"/>
        <item x="0"/>
        <item x="4"/>
        <item x="11"/>
        <item x="1"/>
        <item x="7"/>
        <item t="default"/>
      </items>
    </pivotField>
    <pivotField dataField="1" compact="0" outline="0" showAll="0"/>
    <pivotField compact="0" outline="0" showAll="0"/>
    <pivotField compact="0" outline="0" showAll="0"/>
    <pivotField dataField="1" compact="0" outline="0" showAll="0"/>
    <pivotField compact="0" outline="0" showAll="0"/>
    <pivotField dataField="1" compact="0" outline="0" showAll="0"/>
    <pivotField dataField="1" compact="0" outline="0" showAll="0"/>
    <pivotField dataField="1" compact="0" outline="0" showAll="0"/>
    <pivotField compact="0" outline="0" showAll="0">
      <items count="5">
        <item x="3"/>
        <item x="1"/>
        <item x="0"/>
        <item x="2"/>
        <item t="default"/>
      </items>
    </pivotField>
    <pivotField compact="0" outline="0" showAll="0"/>
    <pivotField compact="0" outline="0" showAll="0">
      <items count="4">
        <item x="2"/>
        <item x="1"/>
        <item x="0"/>
        <item t="default"/>
      </items>
    </pivotField>
  </pivotFields>
  <rowItems count="1">
    <i/>
  </rowItems>
  <colFields count="1">
    <field x="-2"/>
  </colFields>
  <colItems count="5">
    <i>
      <x/>
    </i>
    <i i="1">
      <x v="1"/>
    </i>
    <i i="2">
      <x v="2"/>
    </i>
    <i i="3">
      <x v="3"/>
    </i>
    <i i="4">
      <x v="4"/>
    </i>
  </colItems>
  <dataFields count="5">
    <dataField name="Sum of Quantity" fld="8" baseField="0" baseItem="0"/>
    <dataField name="Sum of Discount %" fld="11" baseField="0" baseItem="0"/>
    <dataField name="Sum of Net Sales (INR)" fld="13" baseField="0" baseItem="0" numFmtId="1"/>
    <dataField name="Sum of COGS (INR)" fld="14" baseField="0" baseItem="0"/>
    <dataField name="Sum of Gross Profit (INR)" fld="15" baseField="0" baseItem="0"/>
  </dataFields>
  <formats count="2">
    <format dxfId="7">
      <pivotArea outline="0" collapsedLevelsAreSubtotals="1" fieldPosition="0"/>
    </format>
    <format dxfId="6">
      <pivotArea dataOnly="0" labelOnly="1" outline="0" axis="axisValues" fieldPosition="0"/>
    </format>
  </formats>
  <chartFormats count="6">
    <chartFormat chart="0" format="0"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288B4B-98C4-4774-8CD7-45E981982C83}" name="PivotTable13"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95:B98" firstHeaderRow="1" firstDataRow="1" firstDataCol="1"/>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compact="0" outline="0" showAll="0">
      <items count="11">
        <item x="4"/>
        <item x="2"/>
        <item x="8"/>
        <item x="9"/>
        <item x="3"/>
        <item x="6"/>
        <item x="1"/>
        <item x="5"/>
        <item x="7"/>
        <item x="0"/>
        <item t="default"/>
      </items>
    </pivotField>
    <pivotField compact="0" outline="0" showAll="0">
      <items count="6">
        <item x="3"/>
        <item x="2"/>
        <item x="4"/>
        <item x="0"/>
        <item x="1"/>
        <item t="default"/>
      </items>
    </pivotField>
    <pivotField compact="0" outline="0" showAll="0"/>
    <pivotField compact="0" outline="0" showAll="0">
      <items count="16">
        <item x="14"/>
        <item x="12"/>
        <item x="2"/>
        <item x="7"/>
        <item x="13"/>
        <item x="9"/>
        <item x="3"/>
        <item x="1"/>
        <item x="4"/>
        <item x="5"/>
        <item x="6"/>
        <item x="10"/>
        <item x="11"/>
        <item x="8"/>
        <item x="0"/>
        <item t="default"/>
      </items>
    </pivotField>
    <pivotField compact="0" outline="0" showAll="0">
      <items count="15">
        <item x="9"/>
        <item x="3"/>
        <item x="5"/>
        <item x="8"/>
        <item x="12"/>
        <item x="6"/>
        <item x="2"/>
        <item x="10"/>
        <item x="13"/>
        <item x="0"/>
        <item x="4"/>
        <item x="11"/>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5">
        <item x="3"/>
        <item x="1"/>
        <item x="0"/>
        <item x="2"/>
        <item t="default"/>
      </items>
    </pivotField>
    <pivotField compact="0" outline="0" showAll="0"/>
    <pivotField axis="axisRow" compact="0" outline="0" showAll="0">
      <items count="4">
        <item x="2"/>
        <item x="1"/>
        <item x="0"/>
        <item t="default"/>
      </items>
    </pivotField>
  </pivotFields>
  <rowFields count="1">
    <field x="18"/>
  </rowFields>
  <rowItems count="3">
    <i>
      <x/>
    </i>
    <i>
      <x v="1"/>
    </i>
    <i t="grand">
      <x/>
    </i>
  </rowItems>
  <colItems count="1">
    <i/>
  </colItems>
  <dataFields count="1">
    <dataField name="Sum of Net Sales (INR)" fld="13" baseField="0" baseItem="0" numFmtId="1"/>
  </dataFields>
  <formats count="2">
    <format dxfId="9">
      <pivotArea outline="0" collapsedLevelsAreSubtotals="1" fieldPosition="0"/>
    </format>
    <format dxfId="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8" count="1" selected="0">
            <x v="0"/>
          </reference>
        </references>
      </pivotArea>
    </chartFormat>
    <chartFormat chart="13" format="7">
      <pivotArea type="data" outline="0" fieldPosition="0">
        <references count="2">
          <reference field="4294967294" count="1" selected="0">
            <x v="0"/>
          </reference>
          <reference field="18" count="1" selected="0">
            <x v="1"/>
          </reference>
        </references>
      </pivotArea>
    </chartFormat>
    <chartFormat chart="13" format="8">
      <pivotArea type="data" outline="0" fieldPosition="0">
        <references count="2">
          <reference field="4294967294" count="1" selected="0">
            <x v="0"/>
          </reference>
          <reference field="18" count="1" selected="0">
            <x v="2"/>
          </reference>
        </references>
      </pivotArea>
    </chartFormat>
    <chartFormat chart="9" format="1">
      <pivotArea type="data" outline="0" fieldPosition="0">
        <references count="2">
          <reference field="4294967294" count="1" selected="0">
            <x v="0"/>
          </reference>
          <reference field="18" count="1" selected="0">
            <x v="0"/>
          </reference>
        </references>
      </pivotArea>
    </chartFormat>
    <chartFormat chart="9"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0917C5-F549-4B83-9915-7B3B4957172B}" name="PivotTable7"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0" firstHeaderRow="1" firstDataRow="1" firstDataCol="1"/>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axis="axisRow" compact="0" outline="0" showAll="0">
      <items count="11">
        <item x="4"/>
        <item x="2"/>
        <item x="8"/>
        <item x="9"/>
        <item x="3"/>
        <item x="6"/>
        <item x="1"/>
        <item x="5"/>
        <item x="7"/>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7"/>
    </i>
    <i t="grand">
      <x/>
    </i>
  </rowItems>
  <colItems count="1">
    <i/>
  </colItems>
  <dataFields count="1">
    <dataField name="Sum of Net Sales (INR)" fld="13" baseField="0" baseItem="0" numFmtId="1"/>
  </dataFields>
  <formats count="2">
    <format dxfId="11">
      <pivotArea outline="0" collapsedLevelsAreSubtotals="1"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77F1EC-5DB7-4C19-930B-FAB65D6CCBB6}" name="PivotTable12"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81:B86" firstHeaderRow="1" firstDataRow="1" firstDataCol="1"/>
  <pivotFields count="19">
    <pivotField compact="0" outline="0" showAll="0"/>
    <pivotField compact="0" numFmtId="164" outline="0" showAll="0">
      <items count="31">
        <item h="1" x="19"/>
        <item h="1" x="7"/>
        <item h="1" x="17"/>
        <item h="1" x="20"/>
        <item h="1" x="18"/>
        <item h="1" x="13"/>
        <item h="1" x="23"/>
        <item h="1" x="9"/>
        <item h="1" x="2"/>
        <item h="1" x="8"/>
        <item h="1" x="0"/>
        <item h="1" x="5"/>
        <item h="1" x="16"/>
        <item h="1" x="24"/>
        <item h="1" x="27"/>
        <item h="1" x="21"/>
        <item h="1" x="12"/>
        <item h="1" x="6"/>
        <item h="1" x="22"/>
        <item h="1" x="10"/>
        <item h="1" x="29"/>
        <item h="1" x="3"/>
        <item x="28"/>
        <item h="1" x="26"/>
        <item h="1" x="25"/>
        <item h="1" x="1"/>
        <item h="1" x="4"/>
        <item h="1" x="11"/>
        <item h="1" x="15"/>
        <item h="1" x="14"/>
        <item t="default"/>
      </items>
    </pivotField>
    <pivotField compact="0" outline="0" showAll="0"/>
    <pivotField compact="0" outline="0" showAll="0">
      <items count="11">
        <item x="4"/>
        <item x="2"/>
        <item x="8"/>
        <item x="9"/>
        <item x="3"/>
        <item x="6"/>
        <item x="1"/>
        <item x="5"/>
        <item x="7"/>
        <item x="0"/>
        <item t="default"/>
      </items>
    </pivotField>
    <pivotField compact="0" outline="0" showAll="0">
      <items count="6">
        <item x="3"/>
        <item x="2"/>
        <item x="4"/>
        <item x="0"/>
        <item x="1"/>
        <item t="default"/>
      </items>
    </pivotField>
    <pivotField compact="0" outline="0" showAll="0"/>
    <pivotField compact="0" outline="0" showAll="0">
      <items count="16">
        <item x="14"/>
        <item x="12"/>
        <item x="2"/>
        <item x="7"/>
        <item x="13"/>
        <item x="9"/>
        <item x="3"/>
        <item x="1"/>
        <item x="4"/>
        <item x="5"/>
        <item x="6"/>
        <item x="10"/>
        <item x="11"/>
        <item x="8"/>
        <item x="0"/>
        <item t="default"/>
      </items>
    </pivotField>
    <pivotField compact="0" outline="0" showAll="0">
      <items count="15">
        <item x="9"/>
        <item x="3"/>
        <item x="5"/>
        <item x="8"/>
        <item x="12"/>
        <item x="6"/>
        <item x="2"/>
        <item x="10"/>
        <item x="13"/>
        <item x="0"/>
        <item x="4"/>
        <item x="11"/>
        <item x="1"/>
        <item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5">
        <item x="3"/>
        <item x="1"/>
        <item x="0"/>
        <item x="2"/>
        <item t="default"/>
      </items>
    </pivotField>
    <pivotField compact="0" outline="0" showAll="0"/>
    <pivotField compact="0" outline="0" showAll="0"/>
  </pivotFields>
  <rowFields count="1">
    <field x="16"/>
  </rowFields>
  <rowItems count="5">
    <i>
      <x/>
    </i>
    <i>
      <x v="1"/>
    </i>
    <i>
      <x v="2"/>
    </i>
    <i>
      <x v="3"/>
    </i>
    <i t="grand">
      <x/>
    </i>
  </rowItems>
  <colItems count="1">
    <i/>
  </colItems>
  <dataFields count="1">
    <dataField name="Sum of Net Sales (INR)" fld="13" baseField="0" baseItem="0" numFmtId="1"/>
  </dataFields>
  <formats count="2">
    <format dxfId="13">
      <pivotArea outline="0" collapsedLevelsAreSubtotals="1" fieldPosition="0"/>
    </format>
    <format dxfId="1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6" count="1" selected="0">
            <x v="0"/>
          </reference>
        </references>
      </pivotArea>
    </chartFormat>
    <chartFormat chart="11" format="8">
      <pivotArea type="data" outline="0" fieldPosition="0">
        <references count="2">
          <reference field="4294967294" count="1" selected="0">
            <x v="0"/>
          </reference>
          <reference field="16" count="1" selected="0">
            <x v="1"/>
          </reference>
        </references>
      </pivotArea>
    </chartFormat>
    <chartFormat chart="11" format="9">
      <pivotArea type="data" outline="0" fieldPosition="0">
        <references count="2">
          <reference field="4294967294" count="1" selected="0">
            <x v="0"/>
          </reference>
          <reference field="16" count="1" selected="0">
            <x v="2"/>
          </reference>
        </references>
      </pivotArea>
    </chartFormat>
    <chartFormat chart="11" format="10">
      <pivotArea type="data" outline="0" fieldPosition="0">
        <references count="2">
          <reference field="4294967294" count="1" selected="0">
            <x v="0"/>
          </reference>
          <reference field="16" count="1" selected="0">
            <x v="3"/>
          </reference>
        </references>
      </pivotArea>
    </chartFormat>
    <chartFormat chart="7" format="1">
      <pivotArea type="data" outline="0" fieldPosition="0">
        <references count="2">
          <reference field="4294967294" count="1" selected="0">
            <x v="0"/>
          </reference>
          <reference field="16" count="1" selected="0">
            <x v="0"/>
          </reference>
        </references>
      </pivotArea>
    </chartFormat>
    <chartFormat chart="7" format="2">
      <pivotArea type="data" outline="0" fieldPosition="0">
        <references count="2">
          <reference field="4294967294" count="1" selected="0">
            <x v="0"/>
          </reference>
          <reference field="16" count="1" selected="0">
            <x v="1"/>
          </reference>
        </references>
      </pivotArea>
    </chartFormat>
    <chartFormat chart="7" format="3">
      <pivotArea type="data" outline="0" fieldPosition="0">
        <references count="2">
          <reference field="4294967294" count="1" selected="0">
            <x v="0"/>
          </reference>
          <reference field="16" count="1" selected="0">
            <x v="2"/>
          </reference>
        </references>
      </pivotArea>
    </chartFormat>
    <chartFormat chart="7" format="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8A06FD86-5AF3-4783-954A-3210513386BE}" sourceName="Invoice Date">
  <pivotTables>
    <pivotTable tabId="9" name="PivotTable14"/>
    <pivotTable tabId="9" name="PivotTable10"/>
    <pivotTable tabId="9" name="PivotTable12"/>
    <pivotTable tabId="9" name="PivotTable13"/>
    <pivotTable tabId="9" name="PivotTable7"/>
    <pivotTable tabId="9" name="PivotTable8"/>
    <pivotTable tabId="9" name="PivotTable9"/>
  </pivotTables>
  <data>
    <tabular pivotCacheId="1537342204">
      <items count="30">
        <i x="19"/>
        <i x="7"/>
        <i x="17"/>
        <i x="20"/>
        <i x="18"/>
        <i x="13"/>
        <i x="23"/>
        <i x="9"/>
        <i x="2"/>
        <i x="8"/>
        <i x="0"/>
        <i x="5"/>
        <i x="16"/>
        <i x="24"/>
        <i x="27"/>
        <i x="21"/>
        <i x="12"/>
        <i x="6"/>
        <i x="22"/>
        <i x="10"/>
        <i x="29"/>
        <i x="3"/>
        <i x="28" s="1"/>
        <i x="26"/>
        <i x="25"/>
        <i x="1"/>
        <i x="4"/>
        <i x="11"/>
        <i x="15"/>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xr10:uid="{49477557-A59A-4132-AF51-4D5F340BE62D}" cache="Slicer_Invoice_Date" caption="Invoice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1" xr10:uid="{36761E4D-EA65-46D1-99AE-B090A9C7E931}" cache="Slicer_Invoice_Date" caption="Invoice Date" startItem="2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C6C1-79CF-4711-9CD5-B2578AF5AEA9}">
  <dimension ref="A1:B6"/>
  <sheetViews>
    <sheetView zoomScale="157" zoomScaleNormal="100" workbookViewId="0">
      <selection activeCell="A4" sqref="A4:B4"/>
    </sheetView>
  </sheetViews>
  <sheetFormatPr defaultRowHeight="14.4" x14ac:dyDescent="0.3"/>
  <cols>
    <col min="1" max="1" width="18.77734375" bestFit="1" customWidth="1"/>
    <col min="2" max="2" width="49.88671875" bestFit="1" customWidth="1"/>
  </cols>
  <sheetData>
    <row r="1" spans="1:2" ht="18" x14ac:dyDescent="0.3">
      <c r="A1" s="18" t="s">
        <v>562</v>
      </c>
      <c r="B1" s="18" t="s">
        <v>568</v>
      </c>
    </row>
    <row r="2" spans="1:2" ht="18" x14ac:dyDescent="0.3">
      <c r="A2" s="17" t="s">
        <v>569</v>
      </c>
      <c r="B2" s="17" t="s">
        <v>570</v>
      </c>
    </row>
    <row r="3" spans="1:2" ht="18" x14ac:dyDescent="0.3">
      <c r="A3" s="17" t="s">
        <v>571</v>
      </c>
      <c r="B3" s="17" t="s">
        <v>572</v>
      </c>
    </row>
    <row r="4" spans="1:2" ht="18" x14ac:dyDescent="0.3">
      <c r="A4" s="17" t="s">
        <v>573</v>
      </c>
      <c r="B4" s="17" t="s">
        <v>574</v>
      </c>
    </row>
    <row r="5" spans="1:2" ht="18" x14ac:dyDescent="0.3">
      <c r="A5" s="17" t="s">
        <v>575</v>
      </c>
      <c r="B5" s="17" t="s">
        <v>576</v>
      </c>
    </row>
    <row r="6" spans="1:2" ht="18" x14ac:dyDescent="0.3">
      <c r="A6" s="17" t="s">
        <v>577</v>
      </c>
      <c r="B6" s="17" t="s">
        <v>578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8D68-6808-43DE-9235-1884A95C4F38}">
  <dimension ref="A1:S451"/>
  <sheetViews>
    <sheetView workbookViewId="0">
      <selection activeCell="D17" sqref="A1:S451"/>
    </sheetView>
  </sheetViews>
  <sheetFormatPr defaultRowHeight="14.4" x14ac:dyDescent="0.3"/>
  <cols>
    <col min="1" max="1" width="14.109375" bestFit="1" customWidth="1"/>
    <col min="2" max="2" width="11.21875" bestFit="1" customWidth="1"/>
    <col min="3" max="3" width="13.5546875" customWidth="1"/>
    <col min="4" max="4" width="32.21875" customWidth="1"/>
    <col min="5" max="5" width="20" customWidth="1"/>
    <col min="6" max="6" width="19.109375" customWidth="1"/>
    <col min="7" max="7" width="18.88671875" bestFit="1" customWidth="1"/>
    <col min="8" max="8" width="11.33203125" bestFit="1" customWidth="1"/>
    <col min="9" max="9" width="8.33203125" bestFit="1" customWidth="1"/>
    <col min="10" max="10" width="9.5546875" bestFit="1" customWidth="1"/>
    <col min="11" max="11" width="25.88671875" customWidth="1"/>
    <col min="12" max="12" width="13.21875" customWidth="1"/>
    <col min="13" max="13" width="17.77734375" customWidth="1"/>
    <col min="14" max="14" width="14.88671875" customWidth="1"/>
    <col min="15" max="15" width="14.44140625" customWidth="1"/>
    <col min="16" max="16" width="19.44140625" customWidth="1"/>
    <col min="17" max="18" width="19.6640625" customWidth="1"/>
    <col min="19" max="19" width="17.21875" customWidth="1"/>
  </cols>
  <sheetData>
    <row r="1" spans="1:19" s="3" customFormat="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x14ac:dyDescent="0.3">
      <c r="A2" s="1" t="s">
        <v>19</v>
      </c>
      <c r="B2" s="2">
        <v>46276</v>
      </c>
      <c r="C2" s="1" t="s">
        <v>20</v>
      </c>
      <c r="D2" s="1" t="s">
        <v>21</v>
      </c>
      <c r="E2" s="1" t="s">
        <v>22</v>
      </c>
      <c r="F2" s="1" t="s">
        <v>23</v>
      </c>
      <c r="G2" s="1" t="s">
        <v>24</v>
      </c>
      <c r="H2" s="1" t="s">
        <v>25</v>
      </c>
      <c r="I2" s="1">
        <v>145</v>
      </c>
      <c r="J2" s="1" t="s">
        <v>26</v>
      </c>
      <c r="K2" s="1">
        <v>85</v>
      </c>
      <c r="L2" s="1">
        <v>0</v>
      </c>
      <c r="M2" s="1">
        <v>12325</v>
      </c>
      <c r="N2" s="1">
        <v>12325</v>
      </c>
      <c r="O2" s="1">
        <v>7395</v>
      </c>
      <c r="P2" s="1">
        <v>4930</v>
      </c>
      <c r="Q2" s="1" t="s">
        <v>27</v>
      </c>
      <c r="R2" s="1" t="s">
        <v>28</v>
      </c>
      <c r="S2" s="1" t="s">
        <v>29</v>
      </c>
    </row>
    <row r="3" spans="1:19" x14ac:dyDescent="0.3">
      <c r="A3" s="1" t="s">
        <v>30</v>
      </c>
      <c r="B3" s="2">
        <v>46291</v>
      </c>
      <c r="C3" s="1" t="s">
        <v>31</v>
      </c>
      <c r="D3" s="1" t="s">
        <v>32</v>
      </c>
      <c r="E3" s="1" t="s">
        <v>33</v>
      </c>
      <c r="F3" s="1" t="s">
        <v>34</v>
      </c>
      <c r="G3" s="1" t="s">
        <v>35</v>
      </c>
      <c r="H3" s="1" t="s">
        <v>36</v>
      </c>
      <c r="I3" s="1">
        <v>160</v>
      </c>
      <c r="J3" s="1" t="s">
        <v>37</v>
      </c>
      <c r="K3" s="1">
        <v>50</v>
      </c>
      <c r="L3" s="1">
        <v>0.03</v>
      </c>
      <c r="M3" s="1">
        <v>8000</v>
      </c>
      <c r="N3" s="1">
        <v>7760</v>
      </c>
      <c r="O3" s="1">
        <v>4640</v>
      </c>
      <c r="P3" s="1">
        <v>3120</v>
      </c>
      <c r="Q3" s="1" t="s">
        <v>27</v>
      </c>
      <c r="R3" s="1" t="s">
        <v>38</v>
      </c>
      <c r="S3" s="1" t="s">
        <v>29</v>
      </c>
    </row>
    <row r="4" spans="1:19" x14ac:dyDescent="0.3">
      <c r="A4" s="1" t="s">
        <v>39</v>
      </c>
      <c r="B4" s="2">
        <v>46274</v>
      </c>
      <c r="C4" s="1" t="s">
        <v>40</v>
      </c>
      <c r="D4" s="1" t="s">
        <v>41</v>
      </c>
      <c r="E4" s="1" t="s">
        <v>33</v>
      </c>
      <c r="F4" s="1" t="s">
        <v>42</v>
      </c>
      <c r="G4" s="1" t="s">
        <v>43</v>
      </c>
      <c r="H4" s="1" t="s">
        <v>44</v>
      </c>
      <c r="I4" s="1">
        <v>17</v>
      </c>
      <c r="J4" s="1" t="s">
        <v>37</v>
      </c>
      <c r="K4" s="1">
        <v>20</v>
      </c>
      <c r="L4" s="1">
        <v>0.02</v>
      </c>
      <c r="M4" s="1">
        <v>340</v>
      </c>
      <c r="N4" s="1">
        <v>333.2</v>
      </c>
      <c r="O4" s="1">
        <v>195.5</v>
      </c>
      <c r="P4" s="1">
        <v>137.69999999999999</v>
      </c>
      <c r="Q4" s="1" t="s">
        <v>45</v>
      </c>
      <c r="R4" s="1" t="s">
        <v>28</v>
      </c>
      <c r="S4" s="1" t="s">
        <v>29</v>
      </c>
    </row>
    <row r="5" spans="1:19" x14ac:dyDescent="0.3">
      <c r="A5" s="1" t="s">
        <v>46</v>
      </c>
      <c r="B5" s="2">
        <v>46287</v>
      </c>
      <c r="C5" s="1" t="s">
        <v>47</v>
      </c>
      <c r="D5" s="1" t="s">
        <v>48</v>
      </c>
      <c r="E5" s="1" t="s">
        <v>49</v>
      </c>
      <c r="F5" s="1" t="s">
        <v>50</v>
      </c>
      <c r="G5" s="1" t="s">
        <v>51</v>
      </c>
      <c r="H5" s="1" t="s">
        <v>52</v>
      </c>
      <c r="I5" s="1">
        <v>164</v>
      </c>
      <c r="J5" s="1" t="s">
        <v>53</v>
      </c>
      <c r="K5" s="1">
        <v>25</v>
      </c>
      <c r="L5" s="1">
        <v>0</v>
      </c>
      <c r="M5" s="1">
        <v>4100</v>
      </c>
      <c r="N5" s="1">
        <v>4100</v>
      </c>
      <c r="O5" s="1">
        <v>2296</v>
      </c>
      <c r="P5" s="1">
        <v>1804</v>
      </c>
      <c r="Q5" s="1" t="s">
        <v>54</v>
      </c>
      <c r="R5" s="1" t="s">
        <v>38</v>
      </c>
      <c r="S5" s="1" t="s">
        <v>29</v>
      </c>
    </row>
    <row r="6" spans="1:19" x14ac:dyDescent="0.3">
      <c r="A6" s="1" t="s">
        <v>55</v>
      </c>
      <c r="B6" s="2">
        <v>46274</v>
      </c>
      <c r="C6" s="1" t="s">
        <v>31</v>
      </c>
      <c r="D6" s="1" t="s">
        <v>32</v>
      </c>
      <c r="E6" s="1" t="s">
        <v>33</v>
      </c>
      <c r="F6" s="1" t="s">
        <v>56</v>
      </c>
      <c r="G6" s="1" t="s">
        <v>57</v>
      </c>
      <c r="H6" s="1" t="s">
        <v>58</v>
      </c>
      <c r="I6" s="1">
        <v>98</v>
      </c>
      <c r="J6" s="1" t="s">
        <v>37</v>
      </c>
      <c r="K6" s="1">
        <v>50</v>
      </c>
      <c r="L6" s="1">
        <v>0</v>
      </c>
      <c r="M6" s="1">
        <v>4900</v>
      </c>
      <c r="N6" s="1">
        <v>4900</v>
      </c>
      <c r="O6" s="1">
        <v>2842</v>
      </c>
      <c r="P6" s="1">
        <v>2058</v>
      </c>
      <c r="Q6" s="1" t="s">
        <v>45</v>
      </c>
      <c r="R6" s="1" t="s">
        <v>38</v>
      </c>
      <c r="S6" s="1" t="s">
        <v>29</v>
      </c>
    </row>
    <row r="7" spans="1:19" x14ac:dyDescent="0.3">
      <c r="A7" s="1" t="s">
        <v>59</v>
      </c>
      <c r="B7" s="2">
        <v>46292</v>
      </c>
      <c r="C7" s="1" t="s">
        <v>60</v>
      </c>
      <c r="D7" s="1" t="s">
        <v>61</v>
      </c>
      <c r="E7" s="1" t="s">
        <v>62</v>
      </c>
      <c r="F7" s="1" t="s">
        <v>23</v>
      </c>
      <c r="G7" s="1" t="s">
        <v>24</v>
      </c>
      <c r="H7" s="1" t="s">
        <v>25</v>
      </c>
      <c r="I7" s="1">
        <v>142</v>
      </c>
      <c r="J7" s="1" t="s">
        <v>37</v>
      </c>
      <c r="K7" s="1">
        <v>40</v>
      </c>
      <c r="L7" s="1">
        <v>0.03</v>
      </c>
      <c r="M7" s="1">
        <v>5680</v>
      </c>
      <c r="N7" s="1">
        <v>5509.6</v>
      </c>
      <c r="O7" s="1">
        <v>3266</v>
      </c>
      <c r="P7" s="1">
        <v>2243.6</v>
      </c>
      <c r="Q7" s="1" t="s">
        <v>54</v>
      </c>
      <c r="R7" s="1" t="s">
        <v>38</v>
      </c>
      <c r="S7" s="1" t="s">
        <v>63</v>
      </c>
    </row>
    <row r="8" spans="1:19" x14ac:dyDescent="0.3">
      <c r="A8" s="1" t="s">
        <v>64</v>
      </c>
      <c r="B8" s="2">
        <v>46291</v>
      </c>
      <c r="C8" s="1" t="s">
        <v>65</v>
      </c>
      <c r="D8" s="1" t="s">
        <v>66</v>
      </c>
      <c r="E8" s="1" t="s">
        <v>49</v>
      </c>
      <c r="F8" s="1" t="s">
        <v>50</v>
      </c>
      <c r="G8" s="1" t="s">
        <v>51</v>
      </c>
      <c r="H8" s="1" t="s">
        <v>52</v>
      </c>
      <c r="I8" s="1">
        <v>54</v>
      </c>
      <c r="J8" s="1" t="s">
        <v>53</v>
      </c>
      <c r="K8" s="1">
        <v>25</v>
      </c>
      <c r="L8" s="1">
        <v>0.02</v>
      </c>
      <c r="M8" s="1">
        <v>1350</v>
      </c>
      <c r="N8" s="1">
        <v>1323</v>
      </c>
      <c r="O8" s="1">
        <v>766.8</v>
      </c>
      <c r="P8" s="1">
        <v>556.20000000000005</v>
      </c>
      <c r="Q8" s="1" t="s">
        <v>45</v>
      </c>
      <c r="R8" s="1" t="s">
        <v>67</v>
      </c>
      <c r="S8" s="1" t="s">
        <v>68</v>
      </c>
    </row>
    <row r="9" spans="1:19" x14ac:dyDescent="0.3">
      <c r="A9" s="1" t="s">
        <v>69</v>
      </c>
      <c r="B9" s="2">
        <v>46277</v>
      </c>
      <c r="C9" s="1" t="s">
        <v>20</v>
      </c>
      <c r="D9" s="1" t="s">
        <v>21</v>
      </c>
      <c r="E9" s="1" t="s">
        <v>22</v>
      </c>
      <c r="F9" s="1" t="s">
        <v>70</v>
      </c>
      <c r="G9" s="1" t="s">
        <v>71</v>
      </c>
      <c r="H9" s="1" t="s">
        <v>72</v>
      </c>
      <c r="I9" s="1">
        <v>126</v>
      </c>
      <c r="J9" s="1" t="s">
        <v>26</v>
      </c>
      <c r="K9" s="1">
        <v>85</v>
      </c>
      <c r="L9" s="1">
        <v>0.03</v>
      </c>
      <c r="M9" s="1">
        <v>10710</v>
      </c>
      <c r="N9" s="1">
        <v>10388.700000000001</v>
      </c>
      <c r="O9" s="1">
        <v>6426</v>
      </c>
      <c r="P9" s="1">
        <v>3962.7</v>
      </c>
      <c r="Q9" s="1" t="s">
        <v>73</v>
      </c>
      <c r="R9" s="1" t="s">
        <v>67</v>
      </c>
      <c r="S9" s="1" t="s">
        <v>29</v>
      </c>
    </row>
    <row r="10" spans="1:19" x14ac:dyDescent="0.3">
      <c r="A10" s="1" t="s">
        <v>74</v>
      </c>
      <c r="B10" s="2">
        <v>46283</v>
      </c>
      <c r="C10" s="1" t="s">
        <v>40</v>
      </c>
      <c r="D10" s="1" t="s">
        <v>41</v>
      </c>
      <c r="E10" s="1" t="s">
        <v>33</v>
      </c>
      <c r="F10" s="1" t="s">
        <v>70</v>
      </c>
      <c r="G10" s="1" t="s">
        <v>71</v>
      </c>
      <c r="H10" s="1" t="s">
        <v>72</v>
      </c>
      <c r="I10" s="1">
        <v>24</v>
      </c>
      <c r="J10" s="1" t="s">
        <v>37</v>
      </c>
      <c r="K10" s="1">
        <v>20</v>
      </c>
      <c r="L10" s="1">
        <v>0.05</v>
      </c>
      <c r="M10" s="1">
        <v>480</v>
      </c>
      <c r="N10" s="1">
        <v>456</v>
      </c>
      <c r="O10" s="1">
        <v>276</v>
      </c>
      <c r="P10" s="1">
        <v>180</v>
      </c>
      <c r="Q10" s="1" t="s">
        <v>54</v>
      </c>
      <c r="R10" s="1" t="s">
        <v>28</v>
      </c>
      <c r="S10" s="1" t="s">
        <v>63</v>
      </c>
    </row>
    <row r="11" spans="1:19" x14ac:dyDescent="0.3">
      <c r="A11" s="1" t="s">
        <v>75</v>
      </c>
      <c r="B11" s="2">
        <v>46267</v>
      </c>
      <c r="C11" s="1" t="s">
        <v>76</v>
      </c>
      <c r="D11" s="1" t="s">
        <v>77</v>
      </c>
      <c r="E11" s="1" t="s">
        <v>33</v>
      </c>
      <c r="F11" s="1" t="s">
        <v>78</v>
      </c>
      <c r="G11" s="1" t="s">
        <v>79</v>
      </c>
      <c r="H11" s="1" t="s">
        <v>80</v>
      </c>
      <c r="I11" s="1">
        <v>105</v>
      </c>
      <c r="J11" s="1" t="s">
        <v>37</v>
      </c>
      <c r="K11" s="1">
        <v>20</v>
      </c>
      <c r="L11" s="1">
        <v>0.02</v>
      </c>
      <c r="M11" s="1">
        <v>2100</v>
      </c>
      <c r="N11" s="1">
        <v>2058</v>
      </c>
      <c r="O11" s="1">
        <v>1239</v>
      </c>
      <c r="P11" s="1">
        <v>819</v>
      </c>
      <c r="Q11" s="1" t="s">
        <v>45</v>
      </c>
      <c r="R11" s="1" t="s">
        <v>67</v>
      </c>
      <c r="S11" s="1" t="s">
        <v>29</v>
      </c>
    </row>
    <row r="12" spans="1:19" x14ac:dyDescent="0.3">
      <c r="A12" s="1" t="s">
        <v>81</v>
      </c>
      <c r="B12" s="2">
        <v>46275</v>
      </c>
      <c r="C12" s="1" t="s">
        <v>82</v>
      </c>
      <c r="D12" s="1" t="s">
        <v>83</v>
      </c>
      <c r="E12" s="1" t="s">
        <v>33</v>
      </c>
      <c r="F12" s="1" t="s">
        <v>84</v>
      </c>
      <c r="G12" s="1" t="s">
        <v>85</v>
      </c>
      <c r="H12" s="1" t="s">
        <v>86</v>
      </c>
      <c r="I12" s="1">
        <v>89</v>
      </c>
      <c r="J12" s="1" t="s">
        <v>37</v>
      </c>
      <c r="K12" s="1">
        <v>35</v>
      </c>
      <c r="L12" s="1">
        <v>0</v>
      </c>
      <c r="M12" s="1">
        <v>3115</v>
      </c>
      <c r="N12" s="1">
        <v>3115</v>
      </c>
      <c r="O12" s="1">
        <v>1780</v>
      </c>
      <c r="P12" s="1">
        <v>1335</v>
      </c>
      <c r="Q12" s="1" t="s">
        <v>27</v>
      </c>
      <c r="R12" s="1" t="s">
        <v>38</v>
      </c>
      <c r="S12" s="1" t="s">
        <v>68</v>
      </c>
    </row>
    <row r="13" spans="1:19" x14ac:dyDescent="0.3">
      <c r="A13" s="1" t="s">
        <v>87</v>
      </c>
      <c r="B13" s="2">
        <v>46273</v>
      </c>
      <c r="C13" s="1" t="s">
        <v>88</v>
      </c>
      <c r="D13" s="1" t="s">
        <v>89</v>
      </c>
      <c r="E13" s="1" t="s">
        <v>62</v>
      </c>
      <c r="F13" s="1" t="s">
        <v>56</v>
      </c>
      <c r="G13" s="1" t="s">
        <v>57</v>
      </c>
      <c r="H13" s="1" t="s">
        <v>58</v>
      </c>
      <c r="I13" s="1">
        <v>191</v>
      </c>
      <c r="J13" s="1" t="s">
        <v>37</v>
      </c>
      <c r="K13" s="1">
        <v>20</v>
      </c>
      <c r="L13" s="1">
        <v>0.02</v>
      </c>
      <c r="M13" s="1">
        <v>3820</v>
      </c>
      <c r="N13" s="1">
        <v>3743.6</v>
      </c>
      <c r="O13" s="1">
        <v>2101</v>
      </c>
      <c r="P13" s="1">
        <v>1642.6</v>
      </c>
      <c r="Q13" s="1" t="s">
        <v>27</v>
      </c>
      <c r="R13" s="1" t="s">
        <v>28</v>
      </c>
      <c r="S13" s="1" t="s">
        <v>63</v>
      </c>
    </row>
    <row r="14" spans="1:19" x14ac:dyDescent="0.3">
      <c r="A14" s="1" t="s">
        <v>90</v>
      </c>
      <c r="B14" s="2">
        <v>46287</v>
      </c>
      <c r="C14" s="1" t="s">
        <v>82</v>
      </c>
      <c r="D14" s="1" t="s">
        <v>83</v>
      </c>
      <c r="E14" s="1" t="s">
        <v>33</v>
      </c>
      <c r="F14" s="1" t="s">
        <v>34</v>
      </c>
      <c r="G14" s="1" t="s">
        <v>35</v>
      </c>
      <c r="H14" s="1" t="s">
        <v>36</v>
      </c>
      <c r="I14" s="1">
        <v>89</v>
      </c>
      <c r="J14" s="1" t="s">
        <v>37</v>
      </c>
      <c r="K14" s="1">
        <v>35</v>
      </c>
      <c r="L14" s="1">
        <v>0.02</v>
      </c>
      <c r="M14" s="1">
        <v>3115</v>
      </c>
      <c r="N14" s="1">
        <v>3052.7</v>
      </c>
      <c r="O14" s="1">
        <v>1780</v>
      </c>
      <c r="P14" s="1">
        <v>1272.7</v>
      </c>
      <c r="Q14" s="1" t="s">
        <v>54</v>
      </c>
      <c r="R14" s="1" t="s">
        <v>38</v>
      </c>
      <c r="S14" s="1" t="s">
        <v>68</v>
      </c>
    </row>
    <row r="15" spans="1:19" x14ac:dyDescent="0.3">
      <c r="A15" s="1" t="s">
        <v>91</v>
      </c>
      <c r="B15" s="2">
        <v>46285</v>
      </c>
      <c r="C15" s="1" t="s">
        <v>60</v>
      </c>
      <c r="D15" s="1" t="s">
        <v>61</v>
      </c>
      <c r="E15" s="1" t="s">
        <v>62</v>
      </c>
      <c r="F15" s="1" t="s">
        <v>92</v>
      </c>
      <c r="G15" s="1" t="s">
        <v>93</v>
      </c>
      <c r="H15" s="1" t="s">
        <v>94</v>
      </c>
      <c r="I15" s="1">
        <v>203</v>
      </c>
      <c r="J15" s="1" t="s">
        <v>37</v>
      </c>
      <c r="K15" s="1">
        <v>40</v>
      </c>
      <c r="L15" s="1">
        <v>0</v>
      </c>
      <c r="M15" s="1">
        <v>8120</v>
      </c>
      <c r="N15" s="1">
        <v>8120</v>
      </c>
      <c r="O15" s="1">
        <v>4669</v>
      </c>
      <c r="P15" s="1">
        <v>3451</v>
      </c>
      <c r="Q15" s="1" t="s">
        <v>45</v>
      </c>
      <c r="R15" s="1" t="s">
        <v>67</v>
      </c>
      <c r="S15" s="1" t="s">
        <v>29</v>
      </c>
    </row>
    <row r="16" spans="1:19" x14ac:dyDescent="0.3">
      <c r="A16" s="1" t="s">
        <v>95</v>
      </c>
      <c r="B16" s="2">
        <v>46293</v>
      </c>
      <c r="C16" s="1" t="s">
        <v>47</v>
      </c>
      <c r="D16" s="1" t="s">
        <v>48</v>
      </c>
      <c r="E16" s="1" t="s">
        <v>49</v>
      </c>
      <c r="F16" s="1" t="s">
        <v>34</v>
      </c>
      <c r="G16" s="1" t="s">
        <v>35</v>
      </c>
      <c r="H16" s="1" t="s">
        <v>36</v>
      </c>
      <c r="I16" s="1">
        <v>148</v>
      </c>
      <c r="J16" s="1" t="s">
        <v>53</v>
      </c>
      <c r="K16" s="1">
        <v>25</v>
      </c>
      <c r="L16" s="1">
        <v>0</v>
      </c>
      <c r="M16" s="1">
        <v>3700</v>
      </c>
      <c r="N16" s="1">
        <v>3700</v>
      </c>
      <c r="O16" s="1">
        <v>2072</v>
      </c>
      <c r="P16" s="1">
        <v>1628</v>
      </c>
      <c r="Q16" s="1" t="s">
        <v>27</v>
      </c>
      <c r="R16" s="1" t="s">
        <v>28</v>
      </c>
      <c r="S16" s="1" t="s">
        <v>29</v>
      </c>
    </row>
    <row r="17" spans="1:19" x14ac:dyDescent="0.3">
      <c r="A17" s="1" t="s">
        <v>96</v>
      </c>
      <c r="B17" s="2">
        <v>46282</v>
      </c>
      <c r="C17" s="1" t="s">
        <v>76</v>
      </c>
      <c r="D17" s="1" t="s">
        <v>77</v>
      </c>
      <c r="E17" s="1" t="s">
        <v>33</v>
      </c>
      <c r="F17" s="1" t="s">
        <v>97</v>
      </c>
      <c r="G17" s="1" t="s">
        <v>98</v>
      </c>
      <c r="H17" s="1" t="s">
        <v>94</v>
      </c>
      <c r="I17" s="1">
        <v>120</v>
      </c>
      <c r="J17" s="1" t="s">
        <v>37</v>
      </c>
      <c r="K17" s="1">
        <v>20</v>
      </c>
      <c r="L17" s="1">
        <v>0</v>
      </c>
      <c r="M17" s="1">
        <v>2400</v>
      </c>
      <c r="N17" s="1">
        <v>2400</v>
      </c>
      <c r="O17" s="1">
        <v>1416</v>
      </c>
      <c r="P17" s="1">
        <v>984</v>
      </c>
      <c r="Q17" s="1" t="s">
        <v>54</v>
      </c>
      <c r="R17" s="1" t="s">
        <v>38</v>
      </c>
      <c r="S17" s="1" t="s">
        <v>68</v>
      </c>
    </row>
    <row r="18" spans="1:19" x14ac:dyDescent="0.3">
      <c r="A18" s="1" t="s">
        <v>99</v>
      </c>
      <c r="B18" s="2">
        <v>46267</v>
      </c>
      <c r="C18" s="1" t="s">
        <v>76</v>
      </c>
      <c r="D18" s="1" t="s">
        <v>77</v>
      </c>
      <c r="E18" s="1" t="s">
        <v>33</v>
      </c>
      <c r="F18" s="1" t="s">
        <v>56</v>
      </c>
      <c r="G18" s="1" t="s">
        <v>57</v>
      </c>
      <c r="H18" s="1" t="s">
        <v>58</v>
      </c>
      <c r="I18" s="1">
        <v>51</v>
      </c>
      <c r="J18" s="1" t="s">
        <v>37</v>
      </c>
      <c r="K18" s="1">
        <v>20</v>
      </c>
      <c r="L18" s="1">
        <v>0.05</v>
      </c>
      <c r="M18" s="1">
        <v>1020</v>
      </c>
      <c r="N18" s="1">
        <v>969</v>
      </c>
      <c r="O18" s="1">
        <v>601.79999999999995</v>
      </c>
      <c r="P18" s="1">
        <v>367.2</v>
      </c>
      <c r="Q18" s="1" t="s">
        <v>73</v>
      </c>
      <c r="R18" s="1" t="s">
        <v>38</v>
      </c>
      <c r="S18" s="1" t="s">
        <v>29</v>
      </c>
    </row>
    <row r="19" spans="1:19" x14ac:dyDescent="0.3">
      <c r="A19" s="1" t="s">
        <v>100</v>
      </c>
      <c r="B19" s="2">
        <v>46271</v>
      </c>
      <c r="C19" s="1" t="s">
        <v>47</v>
      </c>
      <c r="D19" s="1" t="s">
        <v>48</v>
      </c>
      <c r="E19" s="1" t="s">
        <v>49</v>
      </c>
      <c r="F19" s="1" t="s">
        <v>101</v>
      </c>
      <c r="G19" s="1" t="s">
        <v>102</v>
      </c>
      <c r="H19" s="1" t="s">
        <v>103</v>
      </c>
      <c r="I19" s="1">
        <v>72</v>
      </c>
      <c r="J19" s="1" t="s">
        <v>53</v>
      </c>
      <c r="K19" s="1">
        <v>25</v>
      </c>
      <c r="L19" s="1">
        <v>0</v>
      </c>
      <c r="M19" s="1">
        <v>1800</v>
      </c>
      <c r="N19" s="1">
        <v>1800</v>
      </c>
      <c r="O19" s="1">
        <v>1008</v>
      </c>
      <c r="P19" s="1">
        <v>792</v>
      </c>
      <c r="Q19" s="1" t="s">
        <v>27</v>
      </c>
      <c r="R19" s="1" t="s">
        <v>28</v>
      </c>
      <c r="S19" s="1" t="s">
        <v>63</v>
      </c>
    </row>
    <row r="20" spans="1:19" x14ac:dyDescent="0.3">
      <c r="A20" s="1" t="s">
        <v>104</v>
      </c>
      <c r="B20" s="2">
        <v>46273</v>
      </c>
      <c r="C20" s="1" t="s">
        <v>47</v>
      </c>
      <c r="D20" s="1" t="s">
        <v>48</v>
      </c>
      <c r="E20" s="1" t="s">
        <v>49</v>
      </c>
      <c r="F20" s="1" t="s">
        <v>97</v>
      </c>
      <c r="G20" s="1" t="s">
        <v>98</v>
      </c>
      <c r="H20" s="1" t="s">
        <v>94</v>
      </c>
      <c r="I20" s="1">
        <v>56</v>
      </c>
      <c r="J20" s="1" t="s">
        <v>53</v>
      </c>
      <c r="K20" s="1">
        <v>25</v>
      </c>
      <c r="L20" s="1">
        <v>0</v>
      </c>
      <c r="M20" s="1">
        <v>1400</v>
      </c>
      <c r="N20" s="1">
        <v>1400</v>
      </c>
      <c r="O20" s="1">
        <v>784</v>
      </c>
      <c r="P20" s="1">
        <v>616</v>
      </c>
      <c r="Q20" s="1" t="s">
        <v>27</v>
      </c>
      <c r="R20" s="1" t="s">
        <v>38</v>
      </c>
      <c r="S20" s="1" t="s">
        <v>63</v>
      </c>
    </row>
    <row r="21" spans="1:19" x14ac:dyDescent="0.3">
      <c r="A21" s="1" t="s">
        <v>105</v>
      </c>
      <c r="B21" s="2">
        <v>46295</v>
      </c>
      <c r="C21" s="1" t="s">
        <v>106</v>
      </c>
      <c r="D21" s="1" t="s">
        <v>107</v>
      </c>
      <c r="E21" s="1" t="s">
        <v>108</v>
      </c>
      <c r="F21" s="1" t="s">
        <v>92</v>
      </c>
      <c r="G21" s="1" t="s">
        <v>93</v>
      </c>
      <c r="H21" s="1" t="s">
        <v>94</v>
      </c>
      <c r="I21" s="1">
        <v>204</v>
      </c>
      <c r="J21" s="1" t="s">
        <v>37</v>
      </c>
      <c r="K21" s="1">
        <v>15</v>
      </c>
      <c r="L21" s="1">
        <v>0.05</v>
      </c>
      <c r="M21" s="1">
        <v>3060</v>
      </c>
      <c r="N21" s="1">
        <v>2907</v>
      </c>
      <c r="O21" s="1">
        <v>1734</v>
      </c>
      <c r="P21" s="1">
        <v>1173</v>
      </c>
      <c r="Q21" s="1" t="s">
        <v>27</v>
      </c>
      <c r="R21" s="1" t="s">
        <v>38</v>
      </c>
      <c r="S21" s="1" t="s">
        <v>68</v>
      </c>
    </row>
    <row r="22" spans="1:19" x14ac:dyDescent="0.3">
      <c r="A22" s="1" t="s">
        <v>109</v>
      </c>
      <c r="B22" s="2">
        <v>46274</v>
      </c>
      <c r="C22" s="1" t="s">
        <v>20</v>
      </c>
      <c r="D22" s="1" t="s">
        <v>21</v>
      </c>
      <c r="E22" s="1" t="s">
        <v>22</v>
      </c>
      <c r="F22" s="1" t="s">
        <v>50</v>
      </c>
      <c r="G22" s="1" t="s">
        <v>51</v>
      </c>
      <c r="H22" s="1" t="s">
        <v>52</v>
      </c>
      <c r="I22" s="1">
        <v>212</v>
      </c>
      <c r="J22" s="1" t="s">
        <v>26</v>
      </c>
      <c r="K22" s="1">
        <v>85</v>
      </c>
      <c r="L22" s="1">
        <v>0.03</v>
      </c>
      <c r="M22" s="1">
        <v>18020</v>
      </c>
      <c r="N22" s="1">
        <v>17479.400000000001</v>
      </c>
      <c r="O22" s="1">
        <v>10812</v>
      </c>
      <c r="P22" s="1">
        <v>6667.4</v>
      </c>
      <c r="Q22" s="1" t="s">
        <v>45</v>
      </c>
      <c r="R22" s="1" t="s">
        <v>38</v>
      </c>
      <c r="S22" s="1" t="s">
        <v>63</v>
      </c>
    </row>
    <row r="23" spans="1:19" x14ac:dyDescent="0.3">
      <c r="A23" s="1" t="s">
        <v>110</v>
      </c>
      <c r="B23" s="2">
        <v>46294</v>
      </c>
      <c r="C23" s="1" t="s">
        <v>106</v>
      </c>
      <c r="D23" s="1" t="s">
        <v>107</v>
      </c>
      <c r="E23" s="1" t="s">
        <v>108</v>
      </c>
      <c r="F23" s="1" t="s">
        <v>56</v>
      </c>
      <c r="G23" s="1" t="s">
        <v>57</v>
      </c>
      <c r="H23" s="1" t="s">
        <v>58</v>
      </c>
      <c r="I23" s="1">
        <v>220</v>
      </c>
      <c r="J23" s="1" t="s">
        <v>37</v>
      </c>
      <c r="K23" s="1">
        <v>15</v>
      </c>
      <c r="L23" s="1">
        <v>0</v>
      </c>
      <c r="M23" s="1">
        <v>3300</v>
      </c>
      <c r="N23" s="1">
        <v>3300</v>
      </c>
      <c r="O23" s="1">
        <v>1870</v>
      </c>
      <c r="P23" s="1">
        <v>1430</v>
      </c>
      <c r="Q23" s="1" t="s">
        <v>54</v>
      </c>
      <c r="R23" s="1" t="s">
        <v>67</v>
      </c>
      <c r="S23" s="1" t="s">
        <v>68</v>
      </c>
    </row>
    <row r="24" spans="1:19" x14ac:dyDescent="0.3">
      <c r="A24" s="1" t="s">
        <v>111</v>
      </c>
      <c r="B24" s="2">
        <v>46287</v>
      </c>
      <c r="C24" s="1" t="s">
        <v>106</v>
      </c>
      <c r="D24" s="1" t="s">
        <v>107</v>
      </c>
      <c r="E24" s="1" t="s">
        <v>108</v>
      </c>
      <c r="F24" s="1" t="s">
        <v>112</v>
      </c>
      <c r="G24" s="1" t="s">
        <v>113</v>
      </c>
      <c r="H24" s="1" t="s">
        <v>114</v>
      </c>
      <c r="I24" s="1">
        <v>37</v>
      </c>
      <c r="J24" s="1" t="s">
        <v>37</v>
      </c>
      <c r="K24" s="1">
        <v>15</v>
      </c>
      <c r="L24" s="1">
        <v>0.05</v>
      </c>
      <c r="M24" s="1">
        <v>555</v>
      </c>
      <c r="N24" s="1">
        <v>527.25</v>
      </c>
      <c r="O24" s="1">
        <v>314.5</v>
      </c>
      <c r="P24" s="1">
        <v>212.75</v>
      </c>
      <c r="Q24" s="1" t="s">
        <v>27</v>
      </c>
      <c r="R24" s="1" t="s">
        <v>67</v>
      </c>
      <c r="S24" s="1" t="s">
        <v>63</v>
      </c>
    </row>
    <row r="25" spans="1:19" x14ac:dyDescent="0.3">
      <c r="A25" s="1" t="s">
        <v>115</v>
      </c>
      <c r="B25" s="2">
        <v>46274</v>
      </c>
      <c r="C25" s="1" t="s">
        <v>65</v>
      </c>
      <c r="D25" s="1" t="s">
        <v>66</v>
      </c>
      <c r="E25" s="1" t="s">
        <v>49</v>
      </c>
      <c r="F25" s="1" t="s">
        <v>116</v>
      </c>
      <c r="G25" s="1" t="s">
        <v>117</v>
      </c>
      <c r="H25" s="1" t="s">
        <v>118</v>
      </c>
      <c r="I25" s="1">
        <v>22</v>
      </c>
      <c r="J25" s="1" t="s">
        <v>53</v>
      </c>
      <c r="K25" s="1">
        <v>25</v>
      </c>
      <c r="L25" s="1">
        <v>0.05</v>
      </c>
      <c r="M25" s="1">
        <v>550</v>
      </c>
      <c r="N25" s="1">
        <v>522.5</v>
      </c>
      <c r="O25" s="1">
        <v>312.39999999999998</v>
      </c>
      <c r="P25" s="1">
        <v>210.1</v>
      </c>
      <c r="Q25" s="1" t="s">
        <v>73</v>
      </c>
      <c r="R25" s="1" t="s">
        <v>38</v>
      </c>
      <c r="S25" s="1" t="s">
        <v>29</v>
      </c>
    </row>
    <row r="26" spans="1:19" x14ac:dyDescent="0.3">
      <c r="A26" s="1" t="s">
        <v>119</v>
      </c>
      <c r="B26" s="2">
        <v>46271</v>
      </c>
      <c r="C26" s="1" t="s">
        <v>82</v>
      </c>
      <c r="D26" s="1" t="s">
        <v>83</v>
      </c>
      <c r="E26" s="1" t="s">
        <v>33</v>
      </c>
      <c r="F26" s="1" t="s">
        <v>97</v>
      </c>
      <c r="G26" s="1" t="s">
        <v>98</v>
      </c>
      <c r="H26" s="1" t="s">
        <v>94</v>
      </c>
      <c r="I26" s="1">
        <v>106</v>
      </c>
      <c r="J26" s="1" t="s">
        <v>37</v>
      </c>
      <c r="K26" s="1">
        <v>35</v>
      </c>
      <c r="L26" s="1">
        <v>0.03</v>
      </c>
      <c r="M26" s="1">
        <v>3710</v>
      </c>
      <c r="N26" s="1">
        <v>3598.7</v>
      </c>
      <c r="O26" s="1">
        <v>2120</v>
      </c>
      <c r="P26" s="1">
        <v>1478.7</v>
      </c>
      <c r="Q26" s="1" t="s">
        <v>27</v>
      </c>
      <c r="R26" s="1" t="s">
        <v>38</v>
      </c>
      <c r="S26" s="1" t="s">
        <v>68</v>
      </c>
    </row>
    <row r="27" spans="1:19" x14ac:dyDescent="0.3">
      <c r="A27" s="1" t="s">
        <v>120</v>
      </c>
      <c r="B27" s="2">
        <v>46267</v>
      </c>
      <c r="C27" s="1" t="s">
        <v>82</v>
      </c>
      <c r="D27" s="1" t="s">
        <v>83</v>
      </c>
      <c r="E27" s="1" t="s">
        <v>33</v>
      </c>
      <c r="F27" s="1" t="s">
        <v>112</v>
      </c>
      <c r="G27" s="1" t="s">
        <v>113</v>
      </c>
      <c r="H27" s="1" t="s">
        <v>114</v>
      </c>
      <c r="I27" s="1">
        <v>68</v>
      </c>
      <c r="J27" s="1" t="s">
        <v>37</v>
      </c>
      <c r="K27" s="1">
        <v>35</v>
      </c>
      <c r="L27" s="1">
        <v>0</v>
      </c>
      <c r="M27" s="1">
        <v>2380</v>
      </c>
      <c r="N27" s="1">
        <v>2380</v>
      </c>
      <c r="O27" s="1">
        <v>1360</v>
      </c>
      <c r="P27" s="1">
        <v>1020</v>
      </c>
      <c r="Q27" s="1" t="s">
        <v>54</v>
      </c>
      <c r="R27" s="1" t="s">
        <v>67</v>
      </c>
      <c r="S27" s="1" t="s">
        <v>29</v>
      </c>
    </row>
    <row r="28" spans="1:19" x14ac:dyDescent="0.3">
      <c r="A28" s="1" t="s">
        <v>121</v>
      </c>
      <c r="B28" s="2">
        <v>46278</v>
      </c>
      <c r="C28" s="1" t="s">
        <v>76</v>
      </c>
      <c r="D28" s="1" t="s">
        <v>77</v>
      </c>
      <c r="E28" s="1" t="s">
        <v>33</v>
      </c>
      <c r="F28" s="1" t="s">
        <v>34</v>
      </c>
      <c r="G28" s="1" t="s">
        <v>35</v>
      </c>
      <c r="H28" s="1" t="s">
        <v>36</v>
      </c>
      <c r="I28" s="1">
        <v>119</v>
      </c>
      <c r="J28" s="1" t="s">
        <v>37</v>
      </c>
      <c r="K28" s="1">
        <v>20</v>
      </c>
      <c r="L28" s="1">
        <v>0.03</v>
      </c>
      <c r="M28" s="1">
        <v>2380</v>
      </c>
      <c r="N28" s="1">
        <v>2308.6</v>
      </c>
      <c r="O28" s="1">
        <v>1404.2</v>
      </c>
      <c r="P28" s="1">
        <v>904.4</v>
      </c>
      <c r="Q28" s="1" t="s">
        <v>54</v>
      </c>
      <c r="R28" s="1" t="s">
        <v>67</v>
      </c>
      <c r="S28" s="1" t="s">
        <v>29</v>
      </c>
    </row>
    <row r="29" spans="1:19" x14ac:dyDescent="0.3">
      <c r="A29" s="1" t="s">
        <v>122</v>
      </c>
      <c r="B29" s="2">
        <v>46268</v>
      </c>
      <c r="C29" s="1" t="s">
        <v>106</v>
      </c>
      <c r="D29" s="1" t="s">
        <v>107</v>
      </c>
      <c r="E29" s="1" t="s">
        <v>108</v>
      </c>
      <c r="F29" s="1" t="s">
        <v>116</v>
      </c>
      <c r="G29" s="1" t="s">
        <v>117</v>
      </c>
      <c r="H29" s="1" t="s">
        <v>118</v>
      </c>
      <c r="I29" s="1">
        <v>194</v>
      </c>
      <c r="J29" s="1" t="s">
        <v>37</v>
      </c>
      <c r="K29" s="1">
        <v>15</v>
      </c>
      <c r="L29" s="1">
        <v>0.03</v>
      </c>
      <c r="M29" s="1">
        <v>2910</v>
      </c>
      <c r="N29" s="1">
        <v>2822.7</v>
      </c>
      <c r="O29" s="1">
        <v>1649</v>
      </c>
      <c r="P29" s="1">
        <v>1173.7</v>
      </c>
      <c r="Q29" s="1" t="s">
        <v>27</v>
      </c>
      <c r="R29" s="1" t="s">
        <v>38</v>
      </c>
      <c r="S29" s="1" t="s">
        <v>68</v>
      </c>
    </row>
    <row r="30" spans="1:19" x14ac:dyDescent="0.3">
      <c r="A30" s="1" t="s">
        <v>123</v>
      </c>
      <c r="B30" s="2">
        <v>46278</v>
      </c>
      <c r="C30" s="1" t="s">
        <v>82</v>
      </c>
      <c r="D30" s="1" t="s">
        <v>83</v>
      </c>
      <c r="E30" s="1" t="s">
        <v>33</v>
      </c>
      <c r="F30" s="1" t="s">
        <v>56</v>
      </c>
      <c r="G30" s="1" t="s">
        <v>57</v>
      </c>
      <c r="H30" s="1" t="s">
        <v>58</v>
      </c>
      <c r="I30" s="1">
        <v>24</v>
      </c>
      <c r="J30" s="1" t="s">
        <v>37</v>
      </c>
      <c r="K30" s="1">
        <v>35</v>
      </c>
      <c r="L30" s="1">
        <v>0.03</v>
      </c>
      <c r="M30" s="1">
        <v>840</v>
      </c>
      <c r="N30" s="1">
        <v>814.8</v>
      </c>
      <c r="O30" s="1">
        <v>480</v>
      </c>
      <c r="P30" s="1">
        <v>334.8</v>
      </c>
      <c r="Q30" s="1" t="s">
        <v>73</v>
      </c>
      <c r="R30" s="1" t="s">
        <v>38</v>
      </c>
      <c r="S30" s="1" t="s">
        <v>63</v>
      </c>
    </row>
    <row r="31" spans="1:19" x14ac:dyDescent="0.3">
      <c r="A31" s="1" t="s">
        <v>124</v>
      </c>
      <c r="B31" s="2">
        <v>46274</v>
      </c>
      <c r="C31" s="1" t="s">
        <v>106</v>
      </c>
      <c r="D31" s="1" t="s">
        <v>107</v>
      </c>
      <c r="E31" s="1" t="s">
        <v>108</v>
      </c>
      <c r="F31" s="1" t="s">
        <v>70</v>
      </c>
      <c r="G31" s="1" t="s">
        <v>71</v>
      </c>
      <c r="H31" s="1" t="s">
        <v>72</v>
      </c>
      <c r="I31" s="1">
        <v>189</v>
      </c>
      <c r="J31" s="1" t="s">
        <v>37</v>
      </c>
      <c r="K31" s="1">
        <v>15</v>
      </c>
      <c r="L31" s="1">
        <v>0</v>
      </c>
      <c r="M31" s="1">
        <v>2835</v>
      </c>
      <c r="N31" s="1">
        <v>2835</v>
      </c>
      <c r="O31" s="1">
        <v>1606.5</v>
      </c>
      <c r="P31" s="1">
        <v>1228.5</v>
      </c>
      <c r="Q31" s="1" t="s">
        <v>73</v>
      </c>
      <c r="R31" s="1" t="s">
        <v>28</v>
      </c>
      <c r="S31" s="1" t="s">
        <v>63</v>
      </c>
    </row>
    <row r="32" spans="1:19" x14ac:dyDescent="0.3">
      <c r="A32" s="1" t="s">
        <v>125</v>
      </c>
      <c r="B32" s="2">
        <v>46270</v>
      </c>
      <c r="C32" s="1" t="s">
        <v>88</v>
      </c>
      <c r="D32" s="1" t="s">
        <v>89</v>
      </c>
      <c r="E32" s="1" t="s">
        <v>62</v>
      </c>
      <c r="F32" s="1" t="s">
        <v>97</v>
      </c>
      <c r="G32" s="1" t="s">
        <v>98</v>
      </c>
      <c r="H32" s="1" t="s">
        <v>94</v>
      </c>
      <c r="I32" s="1">
        <v>99</v>
      </c>
      <c r="J32" s="1" t="s">
        <v>37</v>
      </c>
      <c r="K32" s="1">
        <v>20</v>
      </c>
      <c r="L32" s="1">
        <v>0.03</v>
      </c>
      <c r="M32" s="1">
        <v>1980</v>
      </c>
      <c r="N32" s="1">
        <v>1920.6</v>
      </c>
      <c r="O32" s="1">
        <v>1089</v>
      </c>
      <c r="P32" s="1">
        <v>831.6</v>
      </c>
      <c r="Q32" s="1" t="s">
        <v>54</v>
      </c>
      <c r="R32" s="1" t="s">
        <v>38</v>
      </c>
      <c r="S32" s="1" t="s">
        <v>63</v>
      </c>
    </row>
    <row r="33" spans="1:19" x14ac:dyDescent="0.3">
      <c r="A33" s="1" t="s">
        <v>126</v>
      </c>
      <c r="B33" s="2">
        <v>46285</v>
      </c>
      <c r="C33" s="1" t="s">
        <v>60</v>
      </c>
      <c r="D33" s="1" t="s">
        <v>61</v>
      </c>
      <c r="E33" s="1" t="s">
        <v>62</v>
      </c>
      <c r="F33" s="1" t="s">
        <v>127</v>
      </c>
      <c r="G33" s="1" t="s">
        <v>128</v>
      </c>
      <c r="H33" s="1" t="s">
        <v>129</v>
      </c>
      <c r="I33" s="1">
        <v>217</v>
      </c>
      <c r="J33" s="1" t="s">
        <v>37</v>
      </c>
      <c r="K33" s="1">
        <v>40</v>
      </c>
      <c r="L33" s="1">
        <v>0</v>
      </c>
      <c r="M33" s="1">
        <v>8680</v>
      </c>
      <c r="N33" s="1">
        <v>8680</v>
      </c>
      <c r="O33" s="1">
        <v>4991</v>
      </c>
      <c r="P33" s="1">
        <v>3689</v>
      </c>
      <c r="Q33" s="1" t="s">
        <v>45</v>
      </c>
      <c r="R33" s="1" t="s">
        <v>38</v>
      </c>
      <c r="S33" s="1" t="s">
        <v>29</v>
      </c>
    </row>
    <row r="34" spans="1:19" x14ac:dyDescent="0.3">
      <c r="A34" s="1" t="s">
        <v>130</v>
      </c>
      <c r="B34" s="2">
        <v>46274</v>
      </c>
      <c r="C34" s="1" t="s">
        <v>82</v>
      </c>
      <c r="D34" s="1" t="s">
        <v>83</v>
      </c>
      <c r="E34" s="1" t="s">
        <v>33</v>
      </c>
      <c r="F34" s="1" t="s">
        <v>92</v>
      </c>
      <c r="G34" s="1" t="s">
        <v>93</v>
      </c>
      <c r="H34" s="1" t="s">
        <v>94</v>
      </c>
      <c r="I34" s="1">
        <v>58</v>
      </c>
      <c r="J34" s="1" t="s">
        <v>37</v>
      </c>
      <c r="K34" s="1">
        <v>35</v>
      </c>
      <c r="L34" s="1">
        <v>0.03</v>
      </c>
      <c r="M34" s="1">
        <v>2030</v>
      </c>
      <c r="N34" s="1">
        <v>1969.1</v>
      </c>
      <c r="O34" s="1">
        <v>1160</v>
      </c>
      <c r="P34" s="1">
        <v>809.1</v>
      </c>
      <c r="Q34" s="1" t="s">
        <v>27</v>
      </c>
      <c r="R34" s="1" t="s">
        <v>38</v>
      </c>
      <c r="S34" s="1" t="s">
        <v>68</v>
      </c>
    </row>
    <row r="35" spans="1:19" x14ac:dyDescent="0.3">
      <c r="A35" s="1" t="s">
        <v>131</v>
      </c>
      <c r="B35" s="2">
        <v>46277</v>
      </c>
      <c r="C35" s="1" t="s">
        <v>106</v>
      </c>
      <c r="D35" s="1" t="s">
        <v>107</v>
      </c>
      <c r="E35" s="1" t="s">
        <v>108</v>
      </c>
      <c r="F35" s="1" t="s">
        <v>78</v>
      </c>
      <c r="G35" s="1" t="s">
        <v>79</v>
      </c>
      <c r="H35" s="1" t="s">
        <v>80</v>
      </c>
      <c r="I35" s="1">
        <v>24</v>
      </c>
      <c r="J35" s="1" t="s">
        <v>37</v>
      </c>
      <c r="K35" s="1">
        <v>15</v>
      </c>
      <c r="L35" s="1">
        <v>0.05</v>
      </c>
      <c r="M35" s="1">
        <v>360</v>
      </c>
      <c r="N35" s="1">
        <v>342</v>
      </c>
      <c r="O35" s="1">
        <v>204</v>
      </c>
      <c r="P35" s="1">
        <v>138</v>
      </c>
      <c r="Q35" s="1" t="s">
        <v>45</v>
      </c>
      <c r="R35" s="1" t="s">
        <v>38</v>
      </c>
      <c r="S35" s="1" t="s">
        <v>68</v>
      </c>
    </row>
    <row r="36" spans="1:19" x14ac:dyDescent="0.3">
      <c r="A36" s="1" t="s">
        <v>132</v>
      </c>
      <c r="B36" s="2">
        <v>46275</v>
      </c>
      <c r="C36" s="1" t="s">
        <v>40</v>
      </c>
      <c r="D36" s="1" t="s">
        <v>41</v>
      </c>
      <c r="E36" s="1" t="s">
        <v>33</v>
      </c>
      <c r="F36" s="1" t="s">
        <v>127</v>
      </c>
      <c r="G36" s="1" t="s">
        <v>128</v>
      </c>
      <c r="H36" s="1" t="s">
        <v>129</v>
      </c>
      <c r="I36" s="1">
        <v>76</v>
      </c>
      <c r="J36" s="1" t="s">
        <v>37</v>
      </c>
      <c r="K36" s="1">
        <v>20</v>
      </c>
      <c r="L36" s="1">
        <v>0</v>
      </c>
      <c r="M36" s="1">
        <v>1520</v>
      </c>
      <c r="N36" s="1">
        <v>1520</v>
      </c>
      <c r="O36" s="1">
        <v>874</v>
      </c>
      <c r="P36" s="1">
        <v>646</v>
      </c>
      <c r="Q36" s="1" t="s">
        <v>73</v>
      </c>
      <c r="R36" s="1" t="s">
        <v>38</v>
      </c>
      <c r="S36" s="1" t="s">
        <v>63</v>
      </c>
    </row>
    <row r="37" spans="1:19" x14ac:dyDescent="0.3">
      <c r="A37" s="1" t="s">
        <v>133</v>
      </c>
      <c r="B37" s="2">
        <v>46266</v>
      </c>
      <c r="C37" s="1" t="s">
        <v>76</v>
      </c>
      <c r="D37" s="1" t="s">
        <v>77</v>
      </c>
      <c r="E37" s="1" t="s">
        <v>33</v>
      </c>
      <c r="F37" s="1" t="s">
        <v>56</v>
      </c>
      <c r="G37" s="1" t="s">
        <v>57</v>
      </c>
      <c r="H37" s="1" t="s">
        <v>58</v>
      </c>
      <c r="I37" s="1">
        <v>191</v>
      </c>
      <c r="J37" s="1" t="s">
        <v>37</v>
      </c>
      <c r="K37" s="1">
        <v>20</v>
      </c>
      <c r="L37" s="1">
        <v>0.02</v>
      </c>
      <c r="M37" s="1">
        <v>3820</v>
      </c>
      <c r="N37" s="1">
        <v>3743.6</v>
      </c>
      <c r="O37" s="1">
        <v>2253.8000000000002</v>
      </c>
      <c r="P37" s="1">
        <v>1489.8</v>
      </c>
      <c r="Q37" s="1" t="s">
        <v>73</v>
      </c>
      <c r="R37" s="1" t="s">
        <v>38</v>
      </c>
      <c r="S37" s="1" t="s">
        <v>63</v>
      </c>
    </row>
    <row r="38" spans="1:19" x14ac:dyDescent="0.3">
      <c r="A38" s="1" t="s">
        <v>134</v>
      </c>
      <c r="B38" s="2">
        <v>46268</v>
      </c>
      <c r="C38" s="1" t="s">
        <v>88</v>
      </c>
      <c r="D38" s="1" t="s">
        <v>89</v>
      </c>
      <c r="E38" s="1" t="s">
        <v>62</v>
      </c>
      <c r="F38" s="1" t="s">
        <v>50</v>
      </c>
      <c r="G38" s="1" t="s">
        <v>51</v>
      </c>
      <c r="H38" s="1" t="s">
        <v>52</v>
      </c>
      <c r="I38" s="1">
        <v>164</v>
      </c>
      <c r="J38" s="1" t="s">
        <v>37</v>
      </c>
      <c r="K38" s="1">
        <v>20</v>
      </c>
      <c r="L38" s="1">
        <v>0.03</v>
      </c>
      <c r="M38" s="1">
        <v>3280</v>
      </c>
      <c r="N38" s="1">
        <v>3181.6</v>
      </c>
      <c r="O38" s="1">
        <v>1804</v>
      </c>
      <c r="P38" s="1">
        <v>1377.6</v>
      </c>
      <c r="Q38" s="1" t="s">
        <v>45</v>
      </c>
      <c r="R38" s="1" t="s">
        <v>38</v>
      </c>
      <c r="S38" s="1" t="s">
        <v>63</v>
      </c>
    </row>
    <row r="39" spans="1:19" x14ac:dyDescent="0.3">
      <c r="A39" s="1" t="s">
        <v>135</v>
      </c>
      <c r="B39" s="2">
        <v>46269</v>
      </c>
      <c r="C39" s="1" t="s">
        <v>31</v>
      </c>
      <c r="D39" s="1" t="s">
        <v>32</v>
      </c>
      <c r="E39" s="1" t="s">
        <v>33</v>
      </c>
      <c r="F39" s="1" t="s">
        <v>97</v>
      </c>
      <c r="G39" s="1" t="s">
        <v>98</v>
      </c>
      <c r="H39" s="1" t="s">
        <v>94</v>
      </c>
      <c r="I39" s="1">
        <v>92</v>
      </c>
      <c r="J39" s="1" t="s">
        <v>37</v>
      </c>
      <c r="K39" s="1">
        <v>50</v>
      </c>
      <c r="L39" s="1">
        <v>0</v>
      </c>
      <c r="M39" s="1">
        <v>4600</v>
      </c>
      <c r="N39" s="1">
        <v>4600</v>
      </c>
      <c r="O39" s="1">
        <v>2668</v>
      </c>
      <c r="P39" s="1">
        <v>1932</v>
      </c>
      <c r="Q39" s="1" t="s">
        <v>27</v>
      </c>
      <c r="R39" s="1" t="s">
        <v>38</v>
      </c>
      <c r="S39" s="1" t="s">
        <v>63</v>
      </c>
    </row>
    <row r="40" spans="1:19" x14ac:dyDescent="0.3">
      <c r="A40" s="1" t="s">
        <v>136</v>
      </c>
      <c r="B40" s="2">
        <v>46276</v>
      </c>
      <c r="C40" s="1" t="s">
        <v>31</v>
      </c>
      <c r="D40" s="1" t="s">
        <v>32</v>
      </c>
      <c r="E40" s="1" t="s">
        <v>33</v>
      </c>
      <c r="F40" s="1" t="s">
        <v>78</v>
      </c>
      <c r="G40" s="1" t="s">
        <v>79</v>
      </c>
      <c r="H40" s="1" t="s">
        <v>80</v>
      </c>
      <c r="I40" s="1">
        <v>102</v>
      </c>
      <c r="J40" s="1" t="s">
        <v>37</v>
      </c>
      <c r="K40" s="1">
        <v>50</v>
      </c>
      <c r="L40" s="1">
        <v>0</v>
      </c>
      <c r="M40" s="1">
        <v>5100</v>
      </c>
      <c r="N40" s="1">
        <v>5100</v>
      </c>
      <c r="O40" s="1">
        <v>2958</v>
      </c>
      <c r="P40" s="1">
        <v>2142</v>
      </c>
      <c r="Q40" s="1" t="s">
        <v>45</v>
      </c>
      <c r="R40" s="1" t="s">
        <v>38</v>
      </c>
      <c r="S40" s="1" t="s">
        <v>68</v>
      </c>
    </row>
    <row r="41" spans="1:19" x14ac:dyDescent="0.3">
      <c r="A41" s="1" t="s">
        <v>137</v>
      </c>
      <c r="B41" s="2">
        <v>46267</v>
      </c>
      <c r="C41" s="1" t="s">
        <v>60</v>
      </c>
      <c r="D41" s="1" t="s">
        <v>61</v>
      </c>
      <c r="E41" s="1" t="s">
        <v>62</v>
      </c>
      <c r="F41" s="1" t="s">
        <v>92</v>
      </c>
      <c r="G41" s="1" t="s">
        <v>93</v>
      </c>
      <c r="H41" s="1" t="s">
        <v>94</v>
      </c>
      <c r="I41" s="1">
        <v>209</v>
      </c>
      <c r="J41" s="1" t="s">
        <v>37</v>
      </c>
      <c r="K41" s="1">
        <v>40</v>
      </c>
      <c r="L41" s="1">
        <v>0</v>
      </c>
      <c r="M41" s="1">
        <v>8360</v>
      </c>
      <c r="N41" s="1">
        <v>8360</v>
      </c>
      <c r="O41" s="1">
        <v>4807</v>
      </c>
      <c r="P41" s="1">
        <v>3553</v>
      </c>
      <c r="Q41" s="1" t="s">
        <v>45</v>
      </c>
      <c r="R41" s="1" t="s">
        <v>28</v>
      </c>
      <c r="S41" s="1" t="s">
        <v>68</v>
      </c>
    </row>
    <row r="42" spans="1:19" x14ac:dyDescent="0.3">
      <c r="A42" s="1" t="s">
        <v>138</v>
      </c>
      <c r="B42" s="2">
        <v>46267</v>
      </c>
      <c r="C42" s="1" t="s">
        <v>20</v>
      </c>
      <c r="D42" s="1" t="s">
        <v>21</v>
      </c>
      <c r="E42" s="1" t="s">
        <v>22</v>
      </c>
      <c r="F42" s="1" t="s">
        <v>97</v>
      </c>
      <c r="G42" s="1" t="s">
        <v>98</v>
      </c>
      <c r="H42" s="1" t="s">
        <v>94</v>
      </c>
      <c r="I42" s="1">
        <v>134</v>
      </c>
      <c r="J42" s="1" t="s">
        <v>26</v>
      </c>
      <c r="K42" s="1">
        <v>85</v>
      </c>
      <c r="L42" s="1">
        <v>0</v>
      </c>
      <c r="M42" s="1">
        <v>11390</v>
      </c>
      <c r="N42" s="1">
        <v>11390</v>
      </c>
      <c r="O42" s="1">
        <v>6834</v>
      </c>
      <c r="P42" s="1">
        <v>4556</v>
      </c>
      <c r="Q42" s="1" t="s">
        <v>27</v>
      </c>
      <c r="R42" s="1" t="s">
        <v>28</v>
      </c>
      <c r="S42" s="1" t="s">
        <v>68</v>
      </c>
    </row>
    <row r="43" spans="1:19" x14ac:dyDescent="0.3">
      <c r="A43" s="1" t="s">
        <v>139</v>
      </c>
      <c r="B43" s="2">
        <v>46266</v>
      </c>
      <c r="C43" s="1" t="s">
        <v>40</v>
      </c>
      <c r="D43" s="1" t="s">
        <v>41</v>
      </c>
      <c r="E43" s="1" t="s">
        <v>33</v>
      </c>
      <c r="F43" s="1" t="s">
        <v>23</v>
      </c>
      <c r="G43" s="1" t="s">
        <v>24</v>
      </c>
      <c r="H43" s="1" t="s">
        <v>25</v>
      </c>
      <c r="I43" s="1">
        <v>80</v>
      </c>
      <c r="J43" s="1" t="s">
        <v>37</v>
      </c>
      <c r="K43" s="1">
        <v>20</v>
      </c>
      <c r="L43" s="1">
        <v>0</v>
      </c>
      <c r="M43" s="1">
        <v>1600</v>
      </c>
      <c r="N43" s="1">
        <v>1600</v>
      </c>
      <c r="O43" s="1">
        <v>920</v>
      </c>
      <c r="P43" s="1">
        <v>680</v>
      </c>
      <c r="Q43" s="1" t="s">
        <v>54</v>
      </c>
      <c r="R43" s="1" t="s">
        <v>28</v>
      </c>
      <c r="S43" s="1" t="s">
        <v>63</v>
      </c>
    </row>
    <row r="44" spans="1:19" x14ac:dyDescent="0.3">
      <c r="A44" s="1" t="s">
        <v>140</v>
      </c>
      <c r="B44" s="2">
        <v>46293</v>
      </c>
      <c r="C44" s="1" t="s">
        <v>40</v>
      </c>
      <c r="D44" s="1" t="s">
        <v>41</v>
      </c>
      <c r="E44" s="1" t="s">
        <v>33</v>
      </c>
      <c r="F44" s="1" t="s">
        <v>101</v>
      </c>
      <c r="G44" s="1" t="s">
        <v>102</v>
      </c>
      <c r="H44" s="1" t="s">
        <v>103</v>
      </c>
      <c r="I44" s="1">
        <v>32</v>
      </c>
      <c r="J44" s="1" t="s">
        <v>37</v>
      </c>
      <c r="K44" s="1">
        <v>20</v>
      </c>
      <c r="L44" s="1">
        <v>0.03</v>
      </c>
      <c r="M44" s="1">
        <v>640</v>
      </c>
      <c r="N44" s="1">
        <v>620.79999999999995</v>
      </c>
      <c r="O44" s="1">
        <v>368</v>
      </c>
      <c r="P44" s="1">
        <v>252.8</v>
      </c>
      <c r="Q44" s="1" t="s">
        <v>45</v>
      </c>
      <c r="R44" s="1" t="s">
        <v>67</v>
      </c>
      <c r="S44" s="1" t="s">
        <v>68</v>
      </c>
    </row>
    <row r="45" spans="1:19" x14ac:dyDescent="0.3">
      <c r="A45" s="1" t="s">
        <v>141</v>
      </c>
      <c r="B45" s="2">
        <v>46285</v>
      </c>
      <c r="C45" s="1" t="s">
        <v>82</v>
      </c>
      <c r="D45" s="1" t="s">
        <v>83</v>
      </c>
      <c r="E45" s="1" t="s">
        <v>33</v>
      </c>
      <c r="F45" s="1" t="s">
        <v>142</v>
      </c>
      <c r="G45" s="1" t="s">
        <v>143</v>
      </c>
      <c r="H45" s="1" t="s">
        <v>144</v>
      </c>
      <c r="I45" s="1">
        <v>104</v>
      </c>
      <c r="J45" s="1" t="s">
        <v>37</v>
      </c>
      <c r="K45" s="1">
        <v>35</v>
      </c>
      <c r="L45" s="1">
        <v>0.02</v>
      </c>
      <c r="M45" s="1">
        <v>3640</v>
      </c>
      <c r="N45" s="1">
        <v>3567.2</v>
      </c>
      <c r="O45" s="1">
        <v>2080</v>
      </c>
      <c r="P45" s="1">
        <v>1487.2</v>
      </c>
      <c r="Q45" s="1" t="s">
        <v>45</v>
      </c>
      <c r="R45" s="1" t="s">
        <v>38</v>
      </c>
      <c r="S45" s="1" t="s">
        <v>63</v>
      </c>
    </row>
    <row r="46" spans="1:19" x14ac:dyDescent="0.3">
      <c r="A46" s="1" t="s">
        <v>145</v>
      </c>
      <c r="B46" s="2">
        <v>46273</v>
      </c>
      <c r="C46" s="1" t="s">
        <v>76</v>
      </c>
      <c r="D46" s="1" t="s">
        <v>77</v>
      </c>
      <c r="E46" s="1" t="s">
        <v>33</v>
      </c>
      <c r="F46" s="1" t="s">
        <v>101</v>
      </c>
      <c r="G46" s="1" t="s">
        <v>102</v>
      </c>
      <c r="H46" s="1" t="s">
        <v>103</v>
      </c>
      <c r="I46" s="1">
        <v>61</v>
      </c>
      <c r="J46" s="1" t="s">
        <v>37</v>
      </c>
      <c r="K46" s="1">
        <v>20</v>
      </c>
      <c r="L46" s="1">
        <v>0.05</v>
      </c>
      <c r="M46" s="1">
        <v>1220</v>
      </c>
      <c r="N46" s="1">
        <v>1159</v>
      </c>
      <c r="O46" s="1">
        <v>719.8</v>
      </c>
      <c r="P46" s="1">
        <v>439.2</v>
      </c>
      <c r="Q46" s="1" t="s">
        <v>27</v>
      </c>
      <c r="R46" s="1" t="s">
        <v>38</v>
      </c>
      <c r="S46" s="1" t="s">
        <v>29</v>
      </c>
    </row>
    <row r="47" spans="1:19" x14ac:dyDescent="0.3">
      <c r="A47" s="1" t="s">
        <v>146</v>
      </c>
      <c r="B47" s="2">
        <v>46281</v>
      </c>
      <c r="C47" s="1" t="s">
        <v>76</v>
      </c>
      <c r="D47" s="1" t="s">
        <v>77</v>
      </c>
      <c r="E47" s="1" t="s">
        <v>33</v>
      </c>
      <c r="F47" s="1" t="s">
        <v>34</v>
      </c>
      <c r="G47" s="1" t="s">
        <v>35</v>
      </c>
      <c r="H47" s="1" t="s">
        <v>36</v>
      </c>
      <c r="I47" s="1">
        <v>122</v>
      </c>
      <c r="J47" s="1" t="s">
        <v>37</v>
      </c>
      <c r="K47" s="1">
        <v>20</v>
      </c>
      <c r="L47" s="1">
        <v>0.05</v>
      </c>
      <c r="M47" s="1">
        <v>2440</v>
      </c>
      <c r="N47" s="1">
        <v>2318</v>
      </c>
      <c r="O47" s="1">
        <v>1439.6</v>
      </c>
      <c r="P47" s="1">
        <v>878.4</v>
      </c>
      <c r="Q47" s="1" t="s">
        <v>73</v>
      </c>
      <c r="R47" s="1" t="s">
        <v>67</v>
      </c>
      <c r="S47" s="1" t="s">
        <v>29</v>
      </c>
    </row>
    <row r="48" spans="1:19" x14ac:dyDescent="0.3">
      <c r="A48" s="1" t="s">
        <v>147</v>
      </c>
      <c r="B48" s="2">
        <v>46269</v>
      </c>
      <c r="C48" s="1" t="s">
        <v>76</v>
      </c>
      <c r="D48" s="1" t="s">
        <v>77</v>
      </c>
      <c r="E48" s="1" t="s">
        <v>33</v>
      </c>
      <c r="F48" s="1" t="s">
        <v>97</v>
      </c>
      <c r="G48" s="1" t="s">
        <v>98</v>
      </c>
      <c r="H48" s="1" t="s">
        <v>94</v>
      </c>
      <c r="I48" s="1">
        <v>27</v>
      </c>
      <c r="J48" s="1" t="s">
        <v>37</v>
      </c>
      <c r="K48" s="1">
        <v>20</v>
      </c>
      <c r="L48" s="1">
        <v>0.02</v>
      </c>
      <c r="M48" s="1">
        <v>540</v>
      </c>
      <c r="N48" s="1">
        <v>529.20000000000005</v>
      </c>
      <c r="O48" s="1">
        <v>318.60000000000002</v>
      </c>
      <c r="P48" s="1">
        <v>210.6</v>
      </c>
      <c r="Q48" s="1" t="s">
        <v>45</v>
      </c>
      <c r="R48" s="1" t="s">
        <v>38</v>
      </c>
      <c r="S48" s="1" t="s">
        <v>29</v>
      </c>
    </row>
    <row r="49" spans="1:19" x14ac:dyDescent="0.3">
      <c r="A49" s="1" t="s">
        <v>148</v>
      </c>
      <c r="B49" s="2">
        <v>46293</v>
      </c>
      <c r="C49" s="1" t="s">
        <v>47</v>
      </c>
      <c r="D49" s="1" t="s">
        <v>48</v>
      </c>
      <c r="E49" s="1" t="s">
        <v>49</v>
      </c>
      <c r="F49" s="1" t="s">
        <v>78</v>
      </c>
      <c r="G49" s="1" t="s">
        <v>79</v>
      </c>
      <c r="H49" s="1" t="s">
        <v>80</v>
      </c>
      <c r="I49" s="1">
        <v>188</v>
      </c>
      <c r="J49" s="1" t="s">
        <v>53</v>
      </c>
      <c r="K49" s="1">
        <v>25</v>
      </c>
      <c r="L49" s="1">
        <v>0</v>
      </c>
      <c r="M49" s="1">
        <v>4700</v>
      </c>
      <c r="N49" s="1">
        <v>4700</v>
      </c>
      <c r="O49" s="1">
        <v>2632</v>
      </c>
      <c r="P49" s="1">
        <v>2068</v>
      </c>
      <c r="Q49" s="1" t="s">
        <v>73</v>
      </c>
      <c r="R49" s="1" t="s">
        <v>28</v>
      </c>
      <c r="S49" s="1" t="s">
        <v>63</v>
      </c>
    </row>
    <row r="50" spans="1:19" x14ac:dyDescent="0.3">
      <c r="A50" s="1" t="s">
        <v>149</v>
      </c>
      <c r="B50" s="2">
        <v>46277</v>
      </c>
      <c r="C50" s="1" t="s">
        <v>40</v>
      </c>
      <c r="D50" s="1" t="s">
        <v>41</v>
      </c>
      <c r="E50" s="1" t="s">
        <v>33</v>
      </c>
      <c r="F50" s="1" t="s">
        <v>92</v>
      </c>
      <c r="G50" s="1" t="s">
        <v>93</v>
      </c>
      <c r="H50" s="1" t="s">
        <v>94</v>
      </c>
      <c r="I50" s="1">
        <v>114</v>
      </c>
      <c r="J50" s="1" t="s">
        <v>37</v>
      </c>
      <c r="K50" s="1">
        <v>20</v>
      </c>
      <c r="L50" s="1">
        <v>0.03</v>
      </c>
      <c r="M50" s="1">
        <v>2280</v>
      </c>
      <c r="N50" s="1">
        <v>2211.6</v>
      </c>
      <c r="O50" s="1">
        <v>1311</v>
      </c>
      <c r="P50" s="1">
        <v>900.6</v>
      </c>
      <c r="Q50" s="1" t="s">
        <v>45</v>
      </c>
      <c r="R50" s="1" t="s">
        <v>38</v>
      </c>
      <c r="S50" s="1" t="s">
        <v>68</v>
      </c>
    </row>
    <row r="51" spans="1:19" x14ac:dyDescent="0.3">
      <c r="A51" s="1" t="s">
        <v>150</v>
      </c>
      <c r="B51" s="2">
        <v>46266</v>
      </c>
      <c r="C51" s="1" t="s">
        <v>65</v>
      </c>
      <c r="D51" s="1" t="s">
        <v>66</v>
      </c>
      <c r="E51" s="1" t="s">
        <v>49</v>
      </c>
      <c r="F51" s="1" t="s">
        <v>101</v>
      </c>
      <c r="G51" s="1" t="s">
        <v>102</v>
      </c>
      <c r="H51" s="1" t="s">
        <v>103</v>
      </c>
      <c r="I51" s="1">
        <v>159</v>
      </c>
      <c r="J51" s="1" t="s">
        <v>53</v>
      </c>
      <c r="K51" s="1">
        <v>25</v>
      </c>
      <c r="L51" s="1">
        <v>0</v>
      </c>
      <c r="M51" s="1">
        <v>3975</v>
      </c>
      <c r="N51" s="1">
        <v>3975</v>
      </c>
      <c r="O51" s="1">
        <v>2257.8000000000002</v>
      </c>
      <c r="P51" s="1">
        <v>1717.2</v>
      </c>
      <c r="Q51" s="1" t="s">
        <v>45</v>
      </c>
      <c r="R51" s="1" t="s">
        <v>38</v>
      </c>
      <c r="S51" s="1" t="s">
        <v>29</v>
      </c>
    </row>
    <row r="52" spans="1:19" x14ac:dyDescent="0.3">
      <c r="A52" s="1" t="s">
        <v>151</v>
      </c>
      <c r="B52" s="2">
        <v>46282</v>
      </c>
      <c r="C52" s="1" t="s">
        <v>31</v>
      </c>
      <c r="D52" s="1" t="s">
        <v>32</v>
      </c>
      <c r="E52" s="1" t="s">
        <v>33</v>
      </c>
      <c r="F52" s="1" t="s">
        <v>56</v>
      </c>
      <c r="G52" s="1" t="s">
        <v>57</v>
      </c>
      <c r="H52" s="1" t="s">
        <v>58</v>
      </c>
      <c r="I52" s="1">
        <v>94</v>
      </c>
      <c r="J52" s="1" t="s">
        <v>37</v>
      </c>
      <c r="K52" s="1">
        <v>50</v>
      </c>
      <c r="L52" s="1">
        <v>0</v>
      </c>
      <c r="M52" s="1">
        <v>4700</v>
      </c>
      <c r="N52" s="1">
        <v>4700</v>
      </c>
      <c r="O52" s="1">
        <v>2726</v>
      </c>
      <c r="P52" s="1">
        <v>1974</v>
      </c>
      <c r="Q52" s="1" t="s">
        <v>54</v>
      </c>
      <c r="R52" s="1" t="s">
        <v>67</v>
      </c>
      <c r="S52" s="1" t="s">
        <v>63</v>
      </c>
    </row>
    <row r="53" spans="1:19" x14ac:dyDescent="0.3">
      <c r="A53" s="1" t="s">
        <v>152</v>
      </c>
      <c r="B53" s="2">
        <v>46268</v>
      </c>
      <c r="C53" s="1" t="s">
        <v>65</v>
      </c>
      <c r="D53" s="1" t="s">
        <v>66</v>
      </c>
      <c r="E53" s="1" t="s">
        <v>49</v>
      </c>
      <c r="F53" s="1" t="s">
        <v>112</v>
      </c>
      <c r="G53" s="1" t="s">
        <v>113</v>
      </c>
      <c r="H53" s="1" t="s">
        <v>114</v>
      </c>
      <c r="I53" s="1">
        <v>186</v>
      </c>
      <c r="J53" s="1" t="s">
        <v>53</v>
      </c>
      <c r="K53" s="1">
        <v>25</v>
      </c>
      <c r="L53" s="1">
        <v>0</v>
      </c>
      <c r="M53" s="1">
        <v>4650</v>
      </c>
      <c r="N53" s="1">
        <v>4650</v>
      </c>
      <c r="O53" s="1">
        <v>2641.2</v>
      </c>
      <c r="P53" s="1">
        <v>2008.8</v>
      </c>
      <c r="Q53" s="1" t="s">
        <v>45</v>
      </c>
      <c r="R53" s="1" t="s">
        <v>38</v>
      </c>
      <c r="S53" s="1" t="s">
        <v>68</v>
      </c>
    </row>
    <row r="54" spans="1:19" x14ac:dyDescent="0.3">
      <c r="A54" s="1" t="s">
        <v>153</v>
      </c>
      <c r="B54" s="2">
        <v>46284</v>
      </c>
      <c r="C54" s="1" t="s">
        <v>40</v>
      </c>
      <c r="D54" s="1" t="s">
        <v>41</v>
      </c>
      <c r="E54" s="1" t="s">
        <v>33</v>
      </c>
      <c r="F54" s="1" t="s">
        <v>70</v>
      </c>
      <c r="G54" s="1" t="s">
        <v>71</v>
      </c>
      <c r="H54" s="1" t="s">
        <v>72</v>
      </c>
      <c r="I54" s="1">
        <v>22</v>
      </c>
      <c r="J54" s="1" t="s">
        <v>37</v>
      </c>
      <c r="K54" s="1">
        <v>20</v>
      </c>
      <c r="L54" s="1">
        <v>0.05</v>
      </c>
      <c r="M54" s="1">
        <v>440</v>
      </c>
      <c r="N54" s="1">
        <v>418</v>
      </c>
      <c r="O54" s="1">
        <v>253</v>
      </c>
      <c r="P54" s="1">
        <v>165</v>
      </c>
      <c r="Q54" s="1" t="s">
        <v>73</v>
      </c>
      <c r="R54" s="1" t="s">
        <v>38</v>
      </c>
      <c r="S54" s="1" t="s">
        <v>63</v>
      </c>
    </row>
    <row r="55" spans="1:19" x14ac:dyDescent="0.3">
      <c r="A55" s="1" t="s">
        <v>154</v>
      </c>
      <c r="B55" s="2">
        <v>46266</v>
      </c>
      <c r="C55" s="1" t="s">
        <v>65</v>
      </c>
      <c r="D55" s="1" t="s">
        <v>66</v>
      </c>
      <c r="E55" s="1" t="s">
        <v>49</v>
      </c>
      <c r="F55" s="1" t="s">
        <v>78</v>
      </c>
      <c r="G55" s="1" t="s">
        <v>79</v>
      </c>
      <c r="H55" s="1" t="s">
        <v>80</v>
      </c>
      <c r="I55" s="1">
        <v>138</v>
      </c>
      <c r="J55" s="1" t="s">
        <v>53</v>
      </c>
      <c r="K55" s="1">
        <v>25</v>
      </c>
      <c r="L55" s="1">
        <v>0</v>
      </c>
      <c r="M55" s="1">
        <v>3450</v>
      </c>
      <c r="N55" s="1">
        <v>3450</v>
      </c>
      <c r="O55" s="1">
        <v>1959.6</v>
      </c>
      <c r="P55" s="1">
        <v>1490.4</v>
      </c>
      <c r="Q55" s="1" t="s">
        <v>73</v>
      </c>
      <c r="R55" s="1" t="s">
        <v>38</v>
      </c>
      <c r="S55" s="1" t="s">
        <v>29</v>
      </c>
    </row>
    <row r="56" spans="1:19" x14ac:dyDescent="0.3">
      <c r="A56" s="1" t="s">
        <v>155</v>
      </c>
      <c r="B56" s="2">
        <v>46281</v>
      </c>
      <c r="C56" s="1" t="s">
        <v>88</v>
      </c>
      <c r="D56" s="1" t="s">
        <v>89</v>
      </c>
      <c r="E56" s="1" t="s">
        <v>62</v>
      </c>
      <c r="F56" s="1" t="s">
        <v>42</v>
      </c>
      <c r="G56" s="1" t="s">
        <v>43</v>
      </c>
      <c r="H56" s="1" t="s">
        <v>44</v>
      </c>
      <c r="I56" s="1">
        <v>207</v>
      </c>
      <c r="J56" s="1" t="s">
        <v>37</v>
      </c>
      <c r="K56" s="1">
        <v>20</v>
      </c>
      <c r="L56" s="1">
        <v>0.05</v>
      </c>
      <c r="M56" s="1">
        <v>4140</v>
      </c>
      <c r="N56" s="1">
        <v>3933</v>
      </c>
      <c r="O56" s="1">
        <v>2277</v>
      </c>
      <c r="P56" s="1">
        <v>1656</v>
      </c>
      <c r="Q56" s="1" t="s">
        <v>73</v>
      </c>
      <c r="R56" s="1" t="s">
        <v>28</v>
      </c>
      <c r="S56" s="1" t="s">
        <v>63</v>
      </c>
    </row>
    <row r="57" spans="1:19" x14ac:dyDescent="0.3">
      <c r="A57" s="1" t="s">
        <v>156</v>
      </c>
      <c r="B57" s="2">
        <v>46273</v>
      </c>
      <c r="C57" s="1" t="s">
        <v>47</v>
      </c>
      <c r="D57" s="1" t="s">
        <v>48</v>
      </c>
      <c r="E57" s="1" t="s">
        <v>49</v>
      </c>
      <c r="F57" s="1" t="s">
        <v>50</v>
      </c>
      <c r="G57" s="1" t="s">
        <v>51</v>
      </c>
      <c r="H57" s="1" t="s">
        <v>52</v>
      </c>
      <c r="I57" s="1">
        <v>61</v>
      </c>
      <c r="J57" s="1" t="s">
        <v>53</v>
      </c>
      <c r="K57" s="1">
        <v>25</v>
      </c>
      <c r="L57" s="1">
        <v>0.02</v>
      </c>
      <c r="M57" s="1">
        <v>1525</v>
      </c>
      <c r="N57" s="1">
        <v>1494.5</v>
      </c>
      <c r="O57" s="1">
        <v>854</v>
      </c>
      <c r="P57" s="1">
        <v>640.5</v>
      </c>
      <c r="Q57" s="1" t="s">
        <v>73</v>
      </c>
      <c r="R57" s="1" t="s">
        <v>38</v>
      </c>
      <c r="S57" s="1" t="s">
        <v>63</v>
      </c>
    </row>
    <row r="58" spans="1:19" x14ac:dyDescent="0.3">
      <c r="A58" s="1" t="s">
        <v>157</v>
      </c>
      <c r="B58" s="2">
        <v>46285</v>
      </c>
      <c r="C58" s="1" t="s">
        <v>47</v>
      </c>
      <c r="D58" s="1" t="s">
        <v>48</v>
      </c>
      <c r="E58" s="1" t="s">
        <v>49</v>
      </c>
      <c r="F58" s="1" t="s">
        <v>127</v>
      </c>
      <c r="G58" s="1" t="s">
        <v>128</v>
      </c>
      <c r="H58" s="1" t="s">
        <v>129</v>
      </c>
      <c r="I58" s="1">
        <v>213</v>
      </c>
      <c r="J58" s="1" t="s">
        <v>53</v>
      </c>
      <c r="K58" s="1">
        <v>25</v>
      </c>
      <c r="L58" s="1">
        <v>0</v>
      </c>
      <c r="M58" s="1">
        <v>5325</v>
      </c>
      <c r="N58" s="1">
        <v>5325</v>
      </c>
      <c r="O58" s="1">
        <v>2982</v>
      </c>
      <c r="P58" s="1">
        <v>2343</v>
      </c>
      <c r="Q58" s="1" t="s">
        <v>54</v>
      </c>
      <c r="R58" s="1" t="s">
        <v>38</v>
      </c>
      <c r="S58" s="1" t="s">
        <v>68</v>
      </c>
    </row>
    <row r="59" spans="1:19" x14ac:dyDescent="0.3">
      <c r="A59" s="1" t="s">
        <v>158</v>
      </c>
      <c r="B59" s="2">
        <v>46266</v>
      </c>
      <c r="C59" s="1" t="s">
        <v>40</v>
      </c>
      <c r="D59" s="1" t="s">
        <v>41</v>
      </c>
      <c r="E59" s="1" t="s">
        <v>33</v>
      </c>
      <c r="F59" s="1" t="s">
        <v>116</v>
      </c>
      <c r="G59" s="1" t="s">
        <v>117</v>
      </c>
      <c r="H59" s="1" t="s">
        <v>118</v>
      </c>
      <c r="I59" s="1">
        <v>124</v>
      </c>
      <c r="J59" s="1" t="s">
        <v>37</v>
      </c>
      <c r="K59" s="1">
        <v>20</v>
      </c>
      <c r="L59" s="1">
        <v>0.03</v>
      </c>
      <c r="M59" s="1">
        <v>2480</v>
      </c>
      <c r="N59" s="1">
        <v>2405.6</v>
      </c>
      <c r="O59" s="1">
        <v>1426</v>
      </c>
      <c r="P59" s="1">
        <v>979.6</v>
      </c>
      <c r="Q59" s="1" t="s">
        <v>73</v>
      </c>
      <c r="R59" s="1" t="s">
        <v>38</v>
      </c>
      <c r="S59" s="1" t="s">
        <v>68</v>
      </c>
    </row>
    <row r="60" spans="1:19" x14ac:dyDescent="0.3">
      <c r="A60" s="1" t="s">
        <v>159</v>
      </c>
      <c r="B60" s="2">
        <v>46268</v>
      </c>
      <c r="C60" s="1" t="s">
        <v>20</v>
      </c>
      <c r="D60" s="1" t="s">
        <v>21</v>
      </c>
      <c r="E60" s="1" t="s">
        <v>22</v>
      </c>
      <c r="F60" s="1" t="s">
        <v>116</v>
      </c>
      <c r="G60" s="1" t="s">
        <v>117</v>
      </c>
      <c r="H60" s="1" t="s">
        <v>118</v>
      </c>
      <c r="I60" s="1">
        <v>153</v>
      </c>
      <c r="J60" s="1" t="s">
        <v>26</v>
      </c>
      <c r="K60" s="1">
        <v>85</v>
      </c>
      <c r="L60" s="1">
        <v>0.02</v>
      </c>
      <c r="M60" s="1">
        <v>13005</v>
      </c>
      <c r="N60" s="1">
        <v>12744.9</v>
      </c>
      <c r="O60" s="1">
        <v>7803</v>
      </c>
      <c r="P60" s="1">
        <v>4941.8999999999996</v>
      </c>
      <c r="Q60" s="1" t="s">
        <v>54</v>
      </c>
      <c r="R60" s="1" t="s">
        <v>38</v>
      </c>
      <c r="S60" s="1" t="s">
        <v>63</v>
      </c>
    </row>
    <row r="61" spans="1:19" x14ac:dyDescent="0.3">
      <c r="A61" s="1" t="s">
        <v>160</v>
      </c>
      <c r="B61" s="2">
        <v>46266</v>
      </c>
      <c r="C61" s="1" t="s">
        <v>88</v>
      </c>
      <c r="D61" s="1" t="s">
        <v>89</v>
      </c>
      <c r="E61" s="1" t="s">
        <v>62</v>
      </c>
      <c r="F61" s="1" t="s">
        <v>34</v>
      </c>
      <c r="G61" s="1" t="s">
        <v>35</v>
      </c>
      <c r="H61" s="1" t="s">
        <v>36</v>
      </c>
      <c r="I61" s="1">
        <v>96</v>
      </c>
      <c r="J61" s="1" t="s">
        <v>37</v>
      </c>
      <c r="K61" s="1">
        <v>20</v>
      </c>
      <c r="L61" s="1">
        <v>0</v>
      </c>
      <c r="M61" s="1">
        <v>1920</v>
      </c>
      <c r="N61" s="1">
        <v>1920</v>
      </c>
      <c r="O61" s="1">
        <v>1056</v>
      </c>
      <c r="P61" s="1">
        <v>864</v>
      </c>
      <c r="Q61" s="1" t="s">
        <v>54</v>
      </c>
      <c r="R61" s="1" t="s">
        <v>38</v>
      </c>
      <c r="S61" s="1" t="s">
        <v>29</v>
      </c>
    </row>
    <row r="62" spans="1:19" x14ac:dyDescent="0.3">
      <c r="A62" s="1" t="s">
        <v>161</v>
      </c>
      <c r="B62" s="2">
        <v>46294</v>
      </c>
      <c r="C62" s="1" t="s">
        <v>106</v>
      </c>
      <c r="D62" s="1" t="s">
        <v>107</v>
      </c>
      <c r="E62" s="1" t="s">
        <v>108</v>
      </c>
      <c r="F62" s="1" t="s">
        <v>97</v>
      </c>
      <c r="G62" s="1" t="s">
        <v>98</v>
      </c>
      <c r="H62" s="1" t="s">
        <v>94</v>
      </c>
      <c r="I62" s="1">
        <v>40</v>
      </c>
      <c r="J62" s="1" t="s">
        <v>37</v>
      </c>
      <c r="K62" s="1">
        <v>15</v>
      </c>
      <c r="L62" s="1">
        <v>0</v>
      </c>
      <c r="M62" s="1">
        <v>600</v>
      </c>
      <c r="N62" s="1">
        <v>600</v>
      </c>
      <c r="O62" s="1">
        <v>340</v>
      </c>
      <c r="P62" s="1">
        <v>260</v>
      </c>
      <c r="Q62" s="1" t="s">
        <v>73</v>
      </c>
      <c r="R62" s="1" t="s">
        <v>67</v>
      </c>
      <c r="S62" s="1" t="s">
        <v>68</v>
      </c>
    </row>
    <row r="63" spans="1:19" x14ac:dyDescent="0.3">
      <c r="A63" s="1" t="s">
        <v>162</v>
      </c>
      <c r="B63" s="2">
        <v>46268</v>
      </c>
      <c r="C63" s="1" t="s">
        <v>47</v>
      </c>
      <c r="D63" s="1" t="s">
        <v>48</v>
      </c>
      <c r="E63" s="1" t="s">
        <v>49</v>
      </c>
      <c r="F63" s="1" t="s">
        <v>23</v>
      </c>
      <c r="G63" s="1" t="s">
        <v>24</v>
      </c>
      <c r="H63" s="1" t="s">
        <v>25</v>
      </c>
      <c r="I63" s="1">
        <v>137</v>
      </c>
      <c r="J63" s="1" t="s">
        <v>53</v>
      </c>
      <c r="K63" s="1">
        <v>25</v>
      </c>
      <c r="L63" s="1">
        <v>0</v>
      </c>
      <c r="M63" s="1">
        <v>3425</v>
      </c>
      <c r="N63" s="1">
        <v>3425</v>
      </c>
      <c r="O63" s="1">
        <v>1918</v>
      </c>
      <c r="P63" s="1">
        <v>1507</v>
      </c>
      <c r="Q63" s="1" t="s">
        <v>45</v>
      </c>
      <c r="R63" s="1" t="s">
        <v>38</v>
      </c>
      <c r="S63" s="1" t="s">
        <v>68</v>
      </c>
    </row>
    <row r="64" spans="1:19" x14ac:dyDescent="0.3">
      <c r="A64" s="1" t="s">
        <v>163</v>
      </c>
      <c r="B64" s="2">
        <v>46273</v>
      </c>
      <c r="C64" s="1" t="s">
        <v>47</v>
      </c>
      <c r="D64" s="1" t="s">
        <v>48</v>
      </c>
      <c r="E64" s="1" t="s">
        <v>49</v>
      </c>
      <c r="F64" s="1" t="s">
        <v>101</v>
      </c>
      <c r="G64" s="1" t="s">
        <v>102</v>
      </c>
      <c r="H64" s="1" t="s">
        <v>103</v>
      </c>
      <c r="I64" s="1">
        <v>77</v>
      </c>
      <c r="J64" s="1" t="s">
        <v>53</v>
      </c>
      <c r="K64" s="1">
        <v>25</v>
      </c>
      <c r="L64" s="1">
        <v>0</v>
      </c>
      <c r="M64" s="1">
        <v>1925</v>
      </c>
      <c r="N64" s="1">
        <v>1925</v>
      </c>
      <c r="O64" s="1">
        <v>1078</v>
      </c>
      <c r="P64" s="1">
        <v>847</v>
      </c>
      <c r="Q64" s="1" t="s">
        <v>27</v>
      </c>
      <c r="R64" s="1" t="s">
        <v>28</v>
      </c>
      <c r="S64" s="1" t="s">
        <v>68</v>
      </c>
    </row>
    <row r="65" spans="1:19" x14ac:dyDescent="0.3">
      <c r="A65" s="1" t="s">
        <v>164</v>
      </c>
      <c r="B65" s="2">
        <v>46267</v>
      </c>
      <c r="C65" s="1" t="s">
        <v>65</v>
      </c>
      <c r="D65" s="1" t="s">
        <v>66</v>
      </c>
      <c r="E65" s="1" t="s">
        <v>49</v>
      </c>
      <c r="F65" s="1" t="s">
        <v>92</v>
      </c>
      <c r="G65" s="1" t="s">
        <v>93</v>
      </c>
      <c r="H65" s="1" t="s">
        <v>94</v>
      </c>
      <c r="I65" s="1">
        <v>75</v>
      </c>
      <c r="J65" s="1" t="s">
        <v>53</v>
      </c>
      <c r="K65" s="1">
        <v>25</v>
      </c>
      <c r="L65" s="1">
        <v>0</v>
      </c>
      <c r="M65" s="1">
        <v>1875</v>
      </c>
      <c r="N65" s="1">
        <v>1875</v>
      </c>
      <c r="O65" s="1">
        <v>1065</v>
      </c>
      <c r="P65" s="1">
        <v>810</v>
      </c>
      <c r="Q65" s="1" t="s">
        <v>73</v>
      </c>
      <c r="R65" s="1" t="s">
        <v>38</v>
      </c>
      <c r="S65" s="1" t="s">
        <v>68</v>
      </c>
    </row>
    <row r="66" spans="1:19" x14ac:dyDescent="0.3">
      <c r="A66" s="1" t="s">
        <v>165</v>
      </c>
      <c r="B66" s="2">
        <v>46277</v>
      </c>
      <c r="C66" s="1" t="s">
        <v>65</v>
      </c>
      <c r="D66" s="1" t="s">
        <v>66</v>
      </c>
      <c r="E66" s="1" t="s">
        <v>49</v>
      </c>
      <c r="F66" s="1" t="s">
        <v>56</v>
      </c>
      <c r="G66" s="1" t="s">
        <v>57</v>
      </c>
      <c r="H66" s="1" t="s">
        <v>58</v>
      </c>
      <c r="I66" s="1">
        <v>123</v>
      </c>
      <c r="J66" s="1" t="s">
        <v>53</v>
      </c>
      <c r="K66" s="1">
        <v>25</v>
      </c>
      <c r="L66" s="1">
        <v>0.03</v>
      </c>
      <c r="M66" s="1">
        <v>3075</v>
      </c>
      <c r="N66" s="1">
        <v>2982.75</v>
      </c>
      <c r="O66" s="1">
        <v>1746.6</v>
      </c>
      <c r="P66" s="1">
        <v>1236.1500000000001</v>
      </c>
      <c r="Q66" s="1" t="s">
        <v>54</v>
      </c>
      <c r="R66" s="1" t="s">
        <v>38</v>
      </c>
      <c r="S66" s="1" t="s">
        <v>63</v>
      </c>
    </row>
    <row r="67" spans="1:19" x14ac:dyDescent="0.3">
      <c r="A67" s="1" t="s">
        <v>166</v>
      </c>
      <c r="B67" s="2">
        <v>46287</v>
      </c>
      <c r="C67" s="1" t="s">
        <v>31</v>
      </c>
      <c r="D67" s="1" t="s">
        <v>32</v>
      </c>
      <c r="E67" s="1" t="s">
        <v>33</v>
      </c>
      <c r="F67" s="1" t="s">
        <v>78</v>
      </c>
      <c r="G67" s="1" t="s">
        <v>79</v>
      </c>
      <c r="H67" s="1" t="s">
        <v>80</v>
      </c>
      <c r="I67" s="1">
        <v>92</v>
      </c>
      <c r="J67" s="1" t="s">
        <v>37</v>
      </c>
      <c r="K67" s="1">
        <v>50</v>
      </c>
      <c r="L67" s="1">
        <v>0.03</v>
      </c>
      <c r="M67" s="1">
        <v>4600</v>
      </c>
      <c r="N67" s="1">
        <v>4462</v>
      </c>
      <c r="O67" s="1">
        <v>2668</v>
      </c>
      <c r="P67" s="1">
        <v>1794</v>
      </c>
      <c r="Q67" s="1" t="s">
        <v>45</v>
      </c>
      <c r="R67" s="1" t="s">
        <v>28</v>
      </c>
      <c r="S67" s="1" t="s">
        <v>29</v>
      </c>
    </row>
    <row r="68" spans="1:19" x14ac:dyDescent="0.3">
      <c r="A68" s="1" t="s">
        <v>167</v>
      </c>
      <c r="B68" s="2">
        <v>46272</v>
      </c>
      <c r="C68" s="1" t="s">
        <v>65</v>
      </c>
      <c r="D68" s="1" t="s">
        <v>66</v>
      </c>
      <c r="E68" s="1" t="s">
        <v>49</v>
      </c>
      <c r="F68" s="1" t="s">
        <v>42</v>
      </c>
      <c r="G68" s="1" t="s">
        <v>43</v>
      </c>
      <c r="H68" s="1" t="s">
        <v>44</v>
      </c>
      <c r="I68" s="1">
        <v>20</v>
      </c>
      <c r="J68" s="1" t="s">
        <v>53</v>
      </c>
      <c r="K68" s="1">
        <v>25</v>
      </c>
      <c r="L68" s="1">
        <v>0</v>
      </c>
      <c r="M68" s="1">
        <v>500</v>
      </c>
      <c r="N68" s="1">
        <v>500</v>
      </c>
      <c r="O68" s="1">
        <v>284</v>
      </c>
      <c r="P68" s="1">
        <v>216</v>
      </c>
      <c r="Q68" s="1" t="s">
        <v>45</v>
      </c>
      <c r="R68" s="1" t="s">
        <v>38</v>
      </c>
      <c r="S68" s="1" t="s">
        <v>63</v>
      </c>
    </row>
    <row r="69" spans="1:19" x14ac:dyDescent="0.3">
      <c r="A69" s="1" t="s">
        <v>168</v>
      </c>
      <c r="B69" s="2">
        <v>46279</v>
      </c>
      <c r="C69" s="1" t="s">
        <v>47</v>
      </c>
      <c r="D69" s="1" t="s">
        <v>48</v>
      </c>
      <c r="E69" s="1" t="s">
        <v>49</v>
      </c>
      <c r="F69" s="1" t="s">
        <v>116</v>
      </c>
      <c r="G69" s="1" t="s">
        <v>117</v>
      </c>
      <c r="H69" s="1" t="s">
        <v>118</v>
      </c>
      <c r="I69" s="1">
        <v>92</v>
      </c>
      <c r="J69" s="1" t="s">
        <v>53</v>
      </c>
      <c r="K69" s="1">
        <v>25</v>
      </c>
      <c r="L69" s="1">
        <v>0.02</v>
      </c>
      <c r="M69" s="1">
        <v>2300</v>
      </c>
      <c r="N69" s="1">
        <v>2254</v>
      </c>
      <c r="O69" s="1">
        <v>1288</v>
      </c>
      <c r="P69" s="1">
        <v>966</v>
      </c>
      <c r="Q69" s="1" t="s">
        <v>45</v>
      </c>
      <c r="R69" s="1" t="s">
        <v>38</v>
      </c>
      <c r="S69" s="1" t="s">
        <v>29</v>
      </c>
    </row>
    <row r="70" spans="1:19" x14ac:dyDescent="0.3">
      <c r="A70" s="1" t="s">
        <v>169</v>
      </c>
      <c r="B70" s="2">
        <v>46278</v>
      </c>
      <c r="C70" s="1" t="s">
        <v>65</v>
      </c>
      <c r="D70" s="1" t="s">
        <v>66</v>
      </c>
      <c r="E70" s="1" t="s">
        <v>49</v>
      </c>
      <c r="F70" s="1" t="s">
        <v>56</v>
      </c>
      <c r="G70" s="1" t="s">
        <v>57</v>
      </c>
      <c r="H70" s="1" t="s">
        <v>58</v>
      </c>
      <c r="I70" s="1">
        <v>112</v>
      </c>
      <c r="J70" s="1" t="s">
        <v>53</v>
      </c>
      <c r="K70" s="1">
        <v>25</v>
      </c>
      <c r="L70" s="1">
        <v>0.03</v>
      </c>
      <c r="M70" s="1">
        <v>2800</v>
      </c>
      <c r="N70" s="1">
        <v>2716</v>
      </c>
      <c r="O70" s="1">
        <v>1590.4</v>
      </c>
      <c r="P70" s="1">
        <v>1125.5999999999999</v>
      </c>
      <c r="Q70" s="1" t="s">
        <v>54</v>
      </c>
      <c r="R70" s="1" t="s">
        <v>67</v>
      </c>
      <c r="S70" s="1" t="s">
        <v>29</v>
      </c>
    </row>
    <row r="71" spans="1:19" x14ac:dyDescent="0.3">
      <c r="A71" s="1" t="s">
        <v>170</v>
      </c>
      <c r="B71" s="2">
        <v>46292</v>
      </c>
      <c r="C71" s="1" t="s">
        <v>65</v>
      </c>
      <c r="D71" s="1" t="s">
        <v>66</v>
      </c>
      <c r="E71" s="1" t="s">
        <v>49</v>
      </c>
      <c r="F71" s="1" t="s">
        <v>56</v>
      </c>
      <c r="G71" s="1" t="s">
        <v>57</v>
      </c>
      <c r="H71" s="1" t="s">
        <v>58</v>
      </c>
      <c r="I71" s="1">
        <v>125</v>
      </c>
      <c r="J71" s="1" t="s">
        <v>53</v>
      </c>
      <c r="K71" s="1">
        <v>25</v>
      </c>
      <c r="L71" s="1">
        <v>0</v>
      </c>
      <c r="M71" s="1">
        <v>3125</v>
      </c>
      <c r="N71" s="1">
        <v>3125</v>
      </c>
      <c r="O71" s="1">
        <v>1775</v>
      </c>
      <c r="P71" s="1">
        <v>1350</v>
      </c>
      <c r="Q71" s="1" t="s">
        <v>73</v>
      </c>
      <c r="R71" s="1" t="s">
        <v>38</v>
      </c>
      <c r="S71" s="1" t="s">
        <v>29</v>
      </c>
    </row>
    <row r="72" spans="1:19" x14ac:dyDescent="0.3">
      <c r="A72" s="1" t="s">
        <v>171</v>
      </c>
      <c r="B72" s="2">
        <v>46291</v>
      </c>
      <c r="C72" s="1" t="s">
        <v>20</v>
      </c>
      <c r="D72" s="1" t="s">
        <v>21</v>
      </c>
      <c r="E72" s="1" t="s">
        <v>22</v>
      </c>
      <c r="F72" s="1" t="s">
        <v>92</v>
      </c>
      <c r="G72" s="1" t="s">
        <v>93</v>
      </c>
      <c r="H72" s="1" t="s">
        <v>94</v>
      </c>
      <c r="I72" s="1">
        <v>16</v>
      </c>
      <c r="J72" s="1" t="s">
        <v>26</v>
      </c>
      <c r="K72" s="1">
        <v>85</v>
      </c>
      <c r="L72" s="1">
        <v>0.02</v>
      </c>
      <c r="M72" s="1">
        <v>1360</v>
      </c>
      <c r="N72" s="1">
        <v>1332.8</v>
      </c>
      <c r="O72" s="1">
        <v>816</v>
      </c>
      <c r="P72" s="1">
        <v>516.79999999999995</v>
      </c>
      <c r="Q72" s="1" t="s">
        <v>45</v>
      </c>
      <c r="R72" s="1" t="s">
        <v>38</v>
      </c>
      <c r="S72" s="1" t="s">
        <v>63</v>
      </c>
    </row>
    <row r="73" spans="1:19" x14ac:dyDescent="0.3">
      <c r="A73" s="1" t="s">
        <v>172</v>
      </c>
      <c r="B73" s="2">
        <v>46277</v>
      </c>
      <c r="C73" s="1" t="s">
        <v>20</v>
      </c>
      <c r="D73" s="1" t="s">
        <v>21</v>
      </c>
      <c r="E73" s="1" t="s">
        <v>22</v>
      </c>
      <c r="F73" s="1" t="s">
        <v>23</v>
      </c>
      <c r="G73" s="1" t="s">
        <v>24</v>
      </c>
      <c r="H73" s="1" t="s">
        <v>25</v>
      </c>
      <c r="I73" s="1">
        <v>171</v>
      </c>
      <c r="J73" s="1" t="s">
        <v>26</v>
      </c>
      <c r="K73" s="1">
        <v>85</v>
      </c>
      <c r="L73" s="1">
        <v>0.02</v>
      </c>
      <c r="M73" s="1">
        <v>14535</v>
      </c>
      <c r="N73" s="1">
        <v>14244.3</v>
      </c>
      <c r="O73" s="1">
        <v>8721</v>
      </c>
      <c r="P73" s="1">
        <v>5523.3</v>
      </c>
      <c r="Q73" s="1" t="s">
        <v>27</v>
      </c>
      <c r="R73" s="1" t="s">
        <v>38</v>
      </c>
      <c r="S73" s="1" t="s">
        <v>63</v>
      </c>
    </row>
    <row r="74" spans="1:19" x14ac:dyDescent="0.3">
      <c r="A74" s="1" t="s">
        <v>173</v>
      </c>
      <c r="B74" s="2">
        <v>46267</v>
      </c>
      <c r="C74" s="1" t="s">
        <v>40</v>
      </c>
      <c r="D74" s="1" t="s">
        <v>41</v>
      </c>
      <c r="E74" s="1" t="s">
        <v>33</v>
      </c>
      <c r="F74" s="1" t="s">
        <v>97</v>
      </c>
      <c r="G74" s="1" t="s">
        <v>98</v>
      </c>
      <c r="H74" s="1" t="s">
        <v>94</v>
      </c>
      <c r="I74" s="1">
        <v>191</v>
      </c>
      <c r="J74" s="1" t="s">
        <v>37</v>
      </c>
      <c r="K74" s="1">
        <v>20</v>
      </c>
      <c r="L74" s="1">
        <v>0.02</v>
      </c>
      <c r="M74" s="1">
        <v>3820</v>
      </c>
      <c r="N74" s="1">
        <v>3743.6</v>
      </c>
      <c r="O74" s="1">
        <v>2196.5</v>
      </c>
      <c r="P74" s="1">
        <v>1547.1</v>
      </c>
      <c r="Q74" s="1" t="s">
        <v>27</v>
      </c>
      <c r="R74" s="1" t="s">
        <v>28</v>
      </c>
      <c r="S74" s="1" t="s">
        <v>68</v>
      </c>
    </row>
    <row r="75" spans="1:19" x14ac:dyDescent="0.3">
      <c r="A75" s="1" t="s">
        <v>174</v>
      </c>
      <c r="B75" s="2">
        <v>46285</v>
      </c>
      <c r="C75" s="1" t="s">
        <v>88</v>
      </c>
      <c r="D75" s="1" t="s">
        <v>89</v>
      </c>
      <c r="E75" s="1" t="s">
        <v>62</v>
      </c>
      <c r="F75" s="1" t="s">
        <v>42</v>
      </c>
      <c r="G75" s="1" t="s">
        <v>43</v>
      </c>
      <c r="H75" s="1" t="s">
        <v>44</v>
      </c>
      <c r="I75" s="1">
        <v>171</v>
      </c>
      <c r="J75" s="1" t="s">
        <v>37</v>
      </c>
      <c r="K75" s="1">
        <v>20</v>
      </c>
      <c r="L75" s="1">
        <v>0</v>
      </c>
      <c r="M75" s="1">
        <v>3420</v>
      </c>
      <c r="N75" s="1">
        <v>3420</v>
      </c>
      <c r="O75" s="1">
        <v>1881</v>
      </c>
      <c r="P75" s="1">
        <v>1539</v>
      </c>
      <c r="Q75" s="1" t="s">
        <v>73</v>
      </c>
      <c r="R75" s="1" t="s">
        <v>28</v>
      </c>
      <c r="S75" s="1" t="s">
        <v>68</v>
      </c>
    </row>
    <row r="76" spans="1:19" x14ac:dyDescent="0.3">
      <c r="A76" s="1" t="s">
        <v>175</v>
      </c>
      <c r="B76" s="2">
        <v>46295</v>
      </c>
      <c r="C76" s="1" t="s">
        <v>47</v>
      </c>
      <c r="D76" s="1" t="s">
        <v>48</v>
      </c>
      <c r="E76" s="1" t="s">
        <v>49</v>
      </c>
      <c r="F76" s="1" t="s">
        <v>23</v>
      </c>
      <c r="G76" s="1" t="s">
        <v>24</v>
      </c>
      <c r="H76" s="1" t="s">
        <v>25</v>
      </c>
      <c r="I76" s="1">
        <v>144</v>
      </c>
      <c r="J76" s="1" t="s">
        <v>53</v>
      </c>
      <c r="K76" s="1">
        <v>25</v>
      </c>
      <c r="L76" s="1">
        <v>0</v>
      </c>
      <c r="M76" s="1">
        <v>3600</v>
      </c>
      <c r="N76" s="1">
        <v>3600</v>
      </c>
      <c r="O76" s="1">
        <v>2016</v>
      </c>
      <c r="P76" s="1">
        <v>1584</v>
      </c>
      <c r="Q76" s="1" t="s">
        <v>54</v>
      </c>
      <c r="R76" s="1" t="s">
        <v>67</v>
      </c>
      <c r="S76" s="1" t="s">
        <v>68</v>
      </c>
    </row>
    <row r="77" spans="1:19" x14ac:dyDescent="0.3">
      <c r="A77" s="1" t="s">
        <v>176</v>
      </c>
      <c r="B77" s="2">
        <v>46287</v>
      </c>
      <c r="C77" s="1" t="s">
        <v>106</v>
      </c>
      <c r="D77" s="1" t="s">
        <v>107</v>
      </c>
      <c r="E77" s="1" t="s">
        <v>108</v>
      </c>
      <c r="F77" s="1" t="s">
        <v>92</v>
      </c>
      <c r="G77" s="1" t="s">
        <v>93</v>
      </c>
      <c r="H77" s="1" t="s">
        <v>94</v>
      </c>
      <c r="I77" s="1">
        <v>104</v>
      </c>
      <c r="J77" s="1" t="s">
        <v>37</v>
      </c>
      <c r="K77" s="1">
        <v>15</v>
      </c>
      <c r="L77" s="1">
        <v>0.05</v>
      </c>
      <c r="M77" s="1">
        <v>1560</v>
      </c>
      <c r="N77" s="1">
        <v>1482</v>
      </c>
      <c r="O77" s="1">
        <v>884</v>
      </c>
      <c r="P77" s="1">
        <v>598</v>
      </c>
      <c r="Q77" s="1" t="s">
        <v>27</v>
      </c>
      <c r="R77" s="1" t="s">
        <v>67</v>
      </c>
      <c r="S77" s="1" t="s">
        <v>29</v>
      </c>
    </row>
    <row r="78" spans="1:19" x14ac:dyDescent="0.3">
      <c r="A78" s="1" t="s">
        <v>177</v>
      </c>
      <c r="B78" s="2">
        <v>46290</v>
      </c>
      <c r="C78" s="1" t="s">
        <v>88</v>
      </c>
      <c r="D78" s="1" t="s">
        <v>89</v>
      </c>
      <c r="E78" s="1" t="s">
        <v>62</v>
      </c>
      <c r="F78" s="1" t="s">
        <v>70</v>
      </c>
      <c r="G78" s="1" t="s">
        <v>71</v>
      </c>
      <c r="H78" s="1" t="s">
        <v>72</v>
      </c>
      <c r="I78" s="1">
        <v>162</v>
      </c>
      <c r="J78" s="1" t="s">
        <v>37</v>
      </c>
      <c r="K78" s="1">
        <v>20</v>
      </c>
      <c r="L78" s="1">
        <v>0</v>
      </c>
      <c r="M78" s="1">
        <v>3240</v>
      </c>
      <c r="N78" s="1">
        <v>3240</v>
      </c>
      <c r="O78" s="1">
        <v>1782</v>
      </c>
      <c r="P78" s="1">
        <v>1458</v>
      </c>
      <c r="Q78" s="1" t="s">
        <v>73</v>
      </c>
      <c r="R78" s="1" t="s">
        <v>67</v>
      </c>
      <c r="S78" s="1" t="s">
        <v>29</v>
      </c>
    </row>
    <row r="79" spans="1:19" x14ac:dyDescent="0.3">
      <c r="A79" s="1" t="s">
        <v>178</v>
      </c>
      <c r="B79" s="2">
        <v>46279</v>
      </c>
      <c r="C79" s="1" t="s">
        <v>20</v>
      </c>
      <c r="D79" s="1" t="s">
        <v>21</v>
      </c>
      <c r="E79" s="1" t="s">
        <v>22</v>
      </c>
      <c r="F79" s="1" t="s">
        <v>50</v>
      </c>
      <c r="G79" s="1" t="s">
        <v>51</v>
      </c>
      <c r="H79" s="1" t="s">
        <v>52</v>
      </c>
      <c r="I79" s="1">
        <v>160</v>
      </c>
      <c r="J79" s="1" t="s">
        <v>26</v>
      </c>
      <c r="K79" s="1">
        <v>85</v>
      </c>
      <c r="L79" s="1">
        <v>0</v>
      </c>
      <c r="M79" s="1">
        <v>13600</v>
      </c>
      <c r="N79" s="1">
        <v>13600</v>
      </c>
      <c r="O79" s="1">
        <v>8160</v>
      </c>
      <c r="P79" s="1">
        <v>5440</v>
      </c>
      <c r="Q79" s="1" t="s">
        <v>27</v>
      </c>
      <c r="R79" s="1" t="s">
        <v>67</v>
      </c>
      <c r="S79" s="1" t="s">
        <v>68</v>
      </c>
    </row>
    <row r="80" spans="1:19" x14ac:dyDescent="0.3">
      <c r="A80" s="1" t="s">
        <v>179</v>
      </c>
      <c r="B80" s="2">
        <v>46294</v>
      </c>
      <c r="C80" s="1" t="s">
        <v>47</v>
      </c>
      <c r="D80" s="1" t="s">
        <v>48</v>
      </c>
      <c r="E80" s="1" t="s">
        <v>49</v>
      </c>
      <c r="F80" s="1" t="s">
        <v>116</v>
      </c>
      <c r="G80" s="1" t="s">
        <v>117</v>
      </c>
      <c r="H80" s="1" t="s">
        <v>118</v>
      </c>
      <c r="I80" s="1">
        <v>59</v>
      </c>
      <c r="J80" s="1" t="s">
        <v>53</v>
      </c>
      <c r="K80" s="1">
        <v>25</v>
      </c>
      <c r="L80" s="1">
        <v>0</v>
      </c>
      <c r="M80" s="1">
        <v>1475</v>
      </c>
      <c r="N80" s="1">
        <v>1475</v>
      </c>
      <c r="O80" s="1">
        <v>826</v>
      </c>
      <c r="P80" s="1">
        <v>649</v>
      </c>
      <c r="Q80" s="1" t="s">
        <v>54</v>
      </c>
      <c r="R80" s="1" t="s">
        <v>38</v>
      </c>
      <c r="S80" s="1" t="s">
        <v>63</v>
      </c>
    </row>
    <row r="81" spans="1:19" x14ac:dyDescent="0.3">
      <c r="A81" s="1" t="s">
        <v>180</v>
      </c>
      <c r="B81" s="2">
        <v>46289</v>
      </c>
      <c r="C81" s="1" t="s">
        <v>60</v>
      </c>
      <c r="D81" s="1" t="s">
        <v>61</v>
      </c>
      <c r="E81" s="1" t="s">
        <v>62</v>
      </c>
      <c r="F81" s="1" t="s">
        <v>78</v>
      </c>
      <c r="G81" s="1" t="s">
        <v>79</v>
      </c>
      <c r="H81" s="1" t="s">
        <v>80</v>
      </c>
      <c r="I81" s="1">
        <v>61</v>
      </c>
      <c r="J81" s="1" t="s">
        <v>37</v>
      </c>
      <c r="K81" s="1">
        <v>40</v>
      </c>
      <c r="L81" s="1">
        <v>0.03</v>
      </c>
      <c r="M81" s="1">
        <v>2440</v>
      </c>
      <c r="N81" s="1">
        <v>2366.8000000000002</v>
      </c>
      <c r="O81" s="1">
        <v>1403</v>
      </c>
      <c r="P81" s="1">
        <v>963.8</v>
      </c>
      <c r="Q81" s="1" t="s">
        <v>73</v>
      </c>
      <c r="R81" s="1" t="s">
        <v>67</v>
      </c>
      <c r="S81" s="1" t="s">
        <v>29</v>
      </c>
    </row>
    <row r="82" spans="1:19" x14ac:dyDescent="0.3">
      <c r="A82" s="1" t="s">
        <v>181</v>
      </c>
      <c r="B82" s="2">
        <v>46280</v>
      </c>
      <c r="C82" s="1" t="s">
        <v>20</v>
      </c>
      <c r="D82" s="1" t="s">
        <v>21</v>
      </c>
      <c r="E82" s="1" t="s">
        <v>22</v>
      </c>
      <c r="F82" s="1" t="s">
        <v>112</v>
      </c>
      <c r="G82" s="1" t="s">
        <v>113</v>
      </c>
      <c r="H82" s="1" t="s">
        <v>114</v>
      </c>
      <c r="I82" s="1">
        <v>137</v>
      </c>
      <c r="J82" s="1" t="s">
        <v>26</v>
      </c>
      <c r="K82" s="1">
        <v>85</v>
      </c>
      <c r="L82" s="1">
        <v>0.05</v>
      </c>
      <c r="M82" s="1">
        <v>11645</v>
      </c>
      <c r="N82" s="1">
        <v>11062.75</v>
      </c>
      <c r="O82" s="1">
        <v>6987</v>
      </c>
      <c r="P82" s="1">
        <v>4075.75</v>
      </c>
      <c r="Q82" s="1" t="s">
        <v>73</v>
      </c>
      <c r="R82" s="1" t="s">
        <v>38</v>
      </c>
      <c r="S82" s="1" t="s">
        <v>68</v>
      </c>
    </row>
    <row r="83" spans="1:19" x14ac:dyDescent="0.3">
      <c r="A83" s="1" t="s">
        <v>182</v>
      </c>
      <c r="B83" s="2">
        <v>46288</v>
      </c>
      <c r="C83" s="1" t="s">
        <v>47</v>
      </c>
      <c r="D83" s="1" t="s">
        <v>48</v>
      </c>
      <c r="E83" s="1" t="s">
        <v>49</v>
      </c>
      <c r="F83" s="1" t="s">
        <v>70</v>
      </c>
      <c r="G83" s="1" t="s">
        <v>71</v>
      </c>
      <c r="H83" s="1" t="s">
        <v>72</v>
      </c>
      <c r="I83" s="1">
        <v>32</v>
      </c>
      <c r="J83" s="1" t="s">
        <v>53</v>
      </c>
      <c r="K83" s="1">
        <v>25</v>
      </c>
      <c r="L83" s="1">
        <v>0.03</v>
      </c>
      <c r="M83" s="1">
        <v>800</v>
      </c>
      <c r="N83" s="1">
        <v>776</v>
      </c>
      <c r="O83" s="1">
        <v>448</v>
      </c>
      <c r="P83" s="1">
        <v>328</v>
      </c>
      <c r="Q83" s="1" t="s">
        <v>45</v>
      </c>
      <c r="R83" s="1" t="s">
        <v>38</v>
      </c>
      <c r="S83" s="1" t="s">
        <v>63</v>
      </c>
    </row>
    <row r="84" spans="1:19" x14ac:dyDescent="0.3">
      <c r="A84" s="1" t="s">
        <v>183</v>
      </c>
      <c r="B84" s="2">
        <v>46290</v>
      </c>
      <c r="C84" s="1" t="s">
        <v>76</v>
      </c>
      <c r="D84" s="1" t="s">
        <v>77</v>
      </c>
      <c r="E84" s="1" t="s">
        <v>33</v>
      </c>
      <c r="F84" s="1" t="s">
        <v>101</v>
      </c>
      <c r="G84" s="1" t="s">
        <v>102</v>
      </c>
      <c r="H84" s="1" t="s">
        <v>103</v>
      </c>
      <c r="I84" s="1">
        <v>181</v>
      </c>
      <c r="J84" s="1" t="s">
        <v>37</v>
      </c>
      <c r="K84" s="1">
        <v>20</v>
      </c>
      <c r="L84" s="1">
        <v>0.05</v>
      </c>
      <c r="M84" s="1">
        <v>3620</v>
      </c>
      <c r="N84" s="1">
        <v>3439</v>
      </c>
      <c r="O84" s="1">
        <v>2135.8000000000002</v>
      </c>
      <c r="P84" s="1">
        <v>1303.2</v>
      </c>
      <c r="Q84" s="1" t="s">
        <v>54</v>
      </c>
      <c r="R84" s="1" t="s">
        <v>38</v>
      </c>
      <c r="S84" s="1" t="s">
        <v>68</v>
      </c>
    </row>
    <row r="85" spans="1:19" x14ac:dyDescent="0.3">
      <c r="A85" s="1" t="s">
        <v>184</v>
      </c>
      <c r="B85" s="2">
        <v>46287</v>
      </c>
      <c r="C85" s="1" t="s">
        <v>82</v>
      </c>
      <c r="D85" s="1" t="s">
        <v>83</v>
      </c>
      <c r="E85" s="1" t="s">
        <v>33</v>
      </c>
      <c r="F85" s="1" t="s">
        <v>23</v>
      </c>
      <c r="G85" s="1" t="s">
        <v>24</v>
      </c>
      <c r="H85" s="1" t="s">
        <v>25</v>
      </c>
      <c r="I85" s="1">
        <v>87</v>
      </c>
      <c r="J85" s="1" t="s">
        <v>37</v>
      </c>
      <c r="K85" s="1">
        <v>35</v>
      </c>
      <c r="L85" s="1">
        <v>0</v>
      </c>
      <c r="M85" s="1">
        <v>3045</v>
      </c>
      <c r="N85" s="1">
        <v>3045</v>
      </c>
      <c r="O85" s="1">
        <v>1740</v>
      </c>
      <c r="P85" s="1">
        <v>1305</v>
      </c>
      <c r="Q85" s="1" t="s">
        <v>27</v>
      </c>
      <c r="R85" s="1" t="s">
        <v>38</v>
      </c>
      <c r="S85" s="1" t="s">
        <v>29</v>
      </c>
    </row>
    <row r="86" spans="1:19" x14ac:dyDescent="0.3">
      <c r="A86" s="1" t="s">
        <v>185</v>
      </c>
      <c r="B86" s="2">
        <v>46271</v>
      </c>
      <c r="C86" s="1" t="s">
        <v>76</v>
      </c>
      <c r="D86" s="1" t="s">
        <v>77</v>
      </c>
      <c r="E86" s="1" t="s">
        <v>33</v>
      </c>
      <c r="F86" s="1" t="s">
        <v>42</v>
      </c>
      <c r="G86" s="1" t="s">
        <v>43</v>
      </c>
      <c r="H86" s="1" t="s">
        <v>44</v>
      </c>
      <c r="I86" s="1">
        <v>167</v>
      </c>
      <c r="J86" s="1" t="s">
        <v>37</v>
      </c>
      <c r="K86" s="1">
        <v>20</v>
      </c>
      <c r="L86" s="1">
        <v>0.02</v>
      </c>
      <c r="M86" s="1">
        <v>3340</v>
      </c>
      <c r="N86" s="1">
        <v>3273.2</v>
      </c>
      <c r="O86" s="1">
        <v>1970.6</v>
      </c>
      <c r="P86" s="1">
        <v>1302.5999999999999</v>
      </c>
      <c r="Q86" s="1" t="s">
        <v>27</v>
      </c>
      <c r="R86" s="1" t="s">
        <v>38</v>
      </c>
      <c r="S86" s="1" t="s">
        <v>63</v>
      </c>
    </row>
    <row r="87" spans="1:19" x14ac:dyDescent="0.3">
      <c r="A87" s="1" t="s">
        <v>186</v>
      </c>
      <c r="B87" s="2">
        <v>46268</v>
      </c>
      <c r="C87" s="1" t="s">
        <v>88</v>
      </c>
      <c r="D87" s="1" t="s">
        <v>89</v>
      </c>
      <c r="E87" s="1" t="s">
        <v>62</v>
      </c>
      <c r="F87" s="1" t="s">
        <v>84</v>
      </c>
      <c r="G87" s="1" t="s">
        <v>85</v>
      </c>
      <c r="H87" s="1" t="s">
        <v>86</v>
      </c>
      <c r="I87" s="1">
        <v>110</v>
      </c>
      <c r="J87" s="1" t="s">
        <v>37</v>
      </c>
      <c r="K87" s="1">
        <v>20</v>
      </c>
      <c r="L87" s="1">
        <v>0.03</v>
      </c>
      <c r="M87" s="1">
        <v>2200</v>
      </c>
      <c r="N87" s="1">
        <v>2134</v>
      </c>
      <c r="O87" s="1">
        <v>1210</v>
      </c>
      <c r="P87" s="1">
        <v>924</v>
      </c>
      <c r="Q87" s="1" t="s">
        <v>54</v>
      </c>
      <c r="R87" s="1" t="s">
        <v>28</v>
      </c>
      <c r="S87" s="1" t="s">
        <v>63</v>
      </c>
    </row>
    <row r="88" spans="1:19" x14ac:dyDescent="0.3">
      <c r="A88" s="1" t="s">
        <v>187</v>
      </c>
      <c r="B88" s="2">
        <v>46283</v>
      </c>
      <c r="C88" s="1" t="s">
        <v>76</v>
      </c>
      <c r="D88" s="1" t="s">
        <v>77</v>
      </c>
      <c r="E88" s="1" t="s">
        <v>33</v>
      </c>
      <c r="F88" s="1" t="s">
        <v>78</v>
      </c>
      <c r="G88" s="1" t="s">
        <v>79</v>
      </c>
      <c r="H88" s="1" t="s">
        <v>80</v>
      </c>
      <c r="I88" s="1">
        <v>158</v>
      </c>
      <c r="J88" s="1" t="s">
        <v>37</v>
      </c>
      <c r="K88" s="1">
        <v>20</v>
      </c>
      <c r="L88" s="1">
        <v>0</v>
      </c>
      <c r="M88" s="1">
        <v>3160</v>
      </c>
      <c r="N88" s="1">
        <v>3160</v>
      </c>
      <c r="O88" s="1">
        <v>1864.4</v>
      </c>
      <c r="P88" s="1">
        <v>1295.5999999999999</v>
      </c>
      <c r="Q88" s="1" t="s">
        <v>54</v>
      </c>
      <c r="R88" s="1" t="s">
        <v>38</v>
      </c>
      <c r="S88" s="1" t="s">
        <v>68</v>
      </c>
    </row>
    <row r="89" spans="1:19" x14ac:dyDescent="0.3">
      <c r="A89" s="1" t="s">
        <v>188</v>
      </c>
      <c r="B89" s="2">
        <v>46268</v>
      </c>
      <c r="C89" s="1" t="s">
        <v>31</v>
      </c>
      <c r="D89" s="1" t="s">
        <v>32</v>
      </c>
      <c r="E89" s="1" t="s">
        <v>33</v>
      </c>
      <c r="F89" s="1" t="s">
        <v>50</v>
      </c>
      <c r="G89" s="1" t="s">
        <v>51</v>
      </c>
      <c r="H89" s="1" t="s">
        <v>52</v>
      </c>
      <c r="I89" s="1">
        <v>195</v>
      </c>
      <c r="J89" s="1" t="s">
        <v>37</v>
      </c>
      <c r="K89" s="1">
        <v>50</v>
      </c>
      <c r="L89" s="1">
        <v>0.02</v>
      </c>
      <c r="M89" s="1">
        <v>9750</v>
      </c>
      <c r="N89" s="1">
        <v>9555</v>
      </c>
      <c r="O89" s="1">
        <v>5655</v>
      </c>
      <c r="P89" s="1">
        <v>3900</v>
      </c>
      <c r="Q89" s="1" t="s">
        <v>45</v>
      </c>
      <c r="R89" s="1" t="s">
        <v>38</v>
      </c>
      <c r="S89" s="1" t="s">
        <v>63</v>
      </c>
    </row>
    <row r="90" spans="1:19" x14ac:dyDescent="0.3">
      <c r="A90" s="1" t="s">
        <v>189</v>
      </c>
      <c r="B90" s="2">
        <v>46273</v>
      </c>
      <c r="C90" s="1" t="s">
        <v>65</v>
      </c>
      <c r="D90" s="1" t="s">
        <v>66</v>
      </c>
      <c r="E90" s="1" t="s">
        <v>49</v>
      </c>
      <c r="F90" s="1" t="s">
        <v>84</v>
      </c>
      <c r="G90" s="1" t="s">
        <v>85</v>
      </c>
      <c r="H90" s="1" t="s">
        <v>86</v>
      </c>
      <c r="I90" s="1">
        <v>61</v>
      </c>
      <c r="J90" s="1" t="s">
        <v>53</v>
      </c>
      <c r="K90" s="1">
        <v>25</v>
      </c>
      <c r="L90" s="1">
        <v>0.02</v>
      </c>
      <c r="M90" s="1">
        <v>1525</v>
      </c>
      <c r="N90" s="1">
        <v>1494.5</v>
      </c>
      <c r="O90" s="1">
        <v>866.2</v>
      </c>
      <c r="P90" s="1">
        <v>628.29999999999995</v>
      </c>
      <c r="Q90" s="1" t="s">
        <v>73</v>
      </c>
      <c r="R90" s="1" t="s">
        <v>67</v>
      </c>
      <c r="S90" s="1" t="s">
        <v>29</v>
      </c>
    </row>
    <row r="91" spans="1:19" x14ac:dyDescent="0.3">
      <c r="A91" s="1" t="s">
        <v>190</v>
      </c>
      <c r="B91" s="2">
        <v>46276</v>
      </c>
      <c r="C91" s="1" t="s">
        <v>88</v>
      </c>
      <c r="D91" s="1" t="s">
        <v>89</v>
      </c>
      <c r="E91" s="1" t="s">
        <v>62</v>
      </c>
      <c r="F91" s="1" t="s">
        <v>101</v>
      </c>
      <c r="G91" s="1" t="s">
        <v>102</v>
      </c>
      <c r="H91" s="1" t="s">
        <v>103</v>
      </c>
      <c r="I91" s="1">
        <v>210</v>
      </c>
      <c r="J91" s="1" t="s">
        <v>37</v>
      </c>
      <c r="K91" s="1">
        <v>20</v>
      </c>
      <c r="L91" s="1">
        <v>0.02</v>
      </c>
      <c r="M91" s="1">
        <v>4200</v>
      </c>
      <c r="N91" s="1">
        <v>4116</v>
      </c>
      <c r="O91" s="1">
        <v>2310</v>
      </c>
      <c r="P91" s="1">
        <v>1806</v>
      </c>
      <c r="Q91" s="1" t="s">
        <v>73</v>
      </c>
      <c r="R91" s="1" t="s">
        <v>28</v>
      </c>
      <c r="S91" s="1" t="s">
        <v>68</v>
      </c>
    </row>
    <row r="92" spans="1:19" x14ac:dyDescent="0.3">
      <c r="A92" s="1" t="s">
        <v>191</v>
      </c>
      <c r="B92" s="2">
        <v>46278</v>
      </c>
      <c r="C92" s="1" t="s">
        <v>76</v>
      </c>
      <c r="D92" s="1" t="s">
        <v>77</v>
      </c>
      <c r="E92" s="1" t="s">
        <v>33</v>
      </c>
      <c r="F92" s="1" t="s">
        <v>23</v>
      </c>
      <c r="G92" s="1" t="s">
        <v>24</v>
      </c>
      <c r="H92" s="1" t="s">
        <v>25</v>
      </c>
      <c r="I92" s="1">
        <v>89</v>
      </c>
      <c r="J92" s="1" t="s">
        <v>37</v>
      </c>
      <c r="K92" s="1">
        <v>20</v>
      </c>
      <c r="L92" s="1">
        <v>0.05</v>
      </c>
      <c r="M92" s="1">
        <v>1780</v>
      </c>
      <c r="N92" s="1">
        <v>1691</v>
      </c>
      <c r="O92" s="1">
        <v>1050.2</v>
      </c>
      <c r="P92" s="1">
        <v>640.79999999999995</v>
      </c>
      <c r="Q92" s="1" t="s">
        <v>54</v>
      </c>
      <c r="R92" s="1" t="s">
        <v>38</v>
      </c>
      <c r="S92" s="1" t="s">
        <v>68</v>
      </c>
    </row>
    <row r="93" spans="1:19" x14ac:dyDescent="0.3">
      <c r="A93" s="1" t="s">
        <v>192</v>
      </c>
      <c r="B93" s="2">
        <v>46272</v>
      </c>
      <c r="C93" s="1" t="s">
        <v>47</v>
      </c>
      <c r="D93" s="1" t="s">
        <v>48</v>
      </c>
      <c r="E93" s="1" t="s">
        <v>49</v>
      </c>
      <c r="F93" s="1" t="s">
        <v>50</v>
      </c>
      <c r="G93" s="1" t="s">
        <v>51</v>
      </c>
      <c r="H93" s="1" t="s">
        <v>52</v>
      </c>
      <c r="I93" s="1">
        <v>146</v>
      </c>
      <c r="J93" s="1" t="s">
        <v>53</v>
      </c>
      <c r="K93" s="1">
        <v>25</v>
      </c>
      <c r="L93" s="1">
        <v>0.02</v>
      </c>
      <c r="M93" s="1">
        <v>3650</v>
      </c>
      <c r="N93" s="1">
        <v>3577</v>
      </c>
      <c r="O93" s="1">
        <v>2044</v>
      </c>
      <c r="P93" s="1">
        <v>1533</v>
      </c>
      <c r="Q93" s="1" t="s">
        <v>45</v>
      </c>
      <c r="R93" s="1" t="s">
        <v>38</v>
      </c>
      <c r="S93" s="1" t="s">
        <v>68</v>
      </c>
    </row>
    <row r="94" spans="1:19" x14ac:dyDescent="0.3">
      <c r="A94" s="1" t="s">
        <v>193</v>
      </c>
      <c r="B94" s="2">
        <v>46273</v>
      </c>
      <c r="C94" s="1" t="s">
        <v>47</v>
      </c>
      <c r="D94" s="1" t="s">
        <v>48</v>
      </c>
      <c r="E94" s="1" t="s">
        <v>49</v>
      </c>
      <c r="F94" s="1" t="s">
        <v>56</v>
      </c>
      <c r="G94" s="1" t="s">
        <v>57</v>
      </c>
      <c r="H94" s="1" t="s">
        <v>58</v>
      </c>
      <c r="I94" s="1">
        <v>165</v>
      </c>
      <c r="J94" s="1" t="s">
        <v>53</v>
      </c>
      <c r="K94" s="1">
        <v>25</v>
      </c>
      <c r="L94" s="1">
        <v>0.03</v>
      </c>
      <c r="M94" s="1">
        <v>4125</v>
      </c>
      <c r="N94" s="1">
        <v>4001.25</v>
      </c>
      <c r="O94" s="1">
        <v>2310</v>
      </c>
      <c r="P94" s="1">
        <v>1691.25</v>
      </c>
      <c r="Q94" s="1" t="s">
        <v>45</v>
      </c>
      <c r="R94" s="1" t="s">
        <v>38</v>
      </c>
      <c r="S94" s="1" t="s">
        <v>29</v>
      </c>
    </row>
    <row r="95" spans="1:19" x14ac:dyDescent="0.3">
      <c r="A95" s="1" t="s">
        <v>194</v>
      </c>
      <c r="B95" s="2">
        <v>46272</v>
      </c>
      <c r="C95" s="1" t="s">
        <v>88</v>
      </c>
      <c r="D95" s="1" t="s">
        <v>89</v>
      </c>
      <c r="E95" s="1" t="s">
        <v>62</v>
      </c>
      <c r="F95" s="1" t="s">
        <v>84</v>
      </c>
      <c r="G95" s="1" t="s">
        <v>85</v>
      </c>
      <c r="H95" s="1" t="s">
        <v>86</v>
      </c>
      <c r="I95" s="1">
        <v>121</v>
      </c>
      <c r="J95" s="1" t="s">
        <v>37</v>
      </c>
      <c r="K95" s="1">
        <v>20</v>
      </c>
      <c r="L95" s="1">
        <v>0</v>
      </c>
      <c r="M95" s="1">
        <v>2420</v>
      </c>
      <c r="N95" s="1">
        <v>2420</v>
      </c>
      <c r="O95" s="1">
        <v>1331</v>
      </c>
      <c r="P95" s="1">
        <v>1089</v>
      </c>
      <c r="Q95" s="1" t="s">
        <v>73</v>
      </c>
      <c r="R95" s="1" t="s">
        <v>38</v>
      </c>
      <c r="S95" s="1" t="s">
        <v>68</v>
      </c>
    </row>
    <row r="96" spans="1:19" x14ac:dyDescent="0.3">
      <c r="A96" s="1" t="s">
        <v>195</v>
      </c>
      <c r="B96" s="2">
        <v>46276</v>
      </c>
      <c r="C96" s="1" t="s">
        <v>31</v>
      </c>
      <c r="D96" s="1" t="s">
        <v>32</v>
      </c>
      <c r="E96" s="1" t="s">
        <v>33</v>
      </c>
      <c r="F96" s="1" t="s">
        <v>112</v>
      </c>
      <c r="G96" s="1" t="s">
        <v>113</v>
      </c>
      <c r="H96" s="1" t="s">
        <v>114</v>
      </c>
      <c r="I96" s="1">
        <v>43</v>
      </c>
      <c r="J96" s="1" t="s">
        <v>37</v>
      </c>
      <c r="K96" s="1">
        <v>50</v>
      </c>
      <c r="L96" s="1">
        <v>0.02</v>
      </c>
      <c r="M96" s="1">
        <v>2150</v>
      </c>
      <c r="N96" s="1">
        <v>2107</v>
      </c>
      <c r="O96" s="1">
        <v>1247</v>
      </c>
      <c r="P96" s="1">
        <v>860</v>
      </c>
      <c r="Q96" s="1" t="s">
        <v>27</v>
      </c>
      <c r="R96" s="1" t="s">
        <v>28</v>
      </c>
      <c r="S96" s="1" t="s">
        <v>29</v>
      </c>
    </row>
    <row r="97" spans="1:19" x14ac:dyDescent="0.3">
      <c r="A97" s="1" t="s">
        <v>196</v>
      </c>
      <c r="B97" s="2">
        <v>46288</v>
      </c>
      <c r="C97" s="1" t="s">
        <v>60</v>
      </c>
      <c r="D97" s="1" t="s">
        <v>61</v>
      </c>
      <c r="E97" s="1" t="s">
        <v>62</v>
      </c>
      <c r="F97" s="1" t="s">
        <v>34</v>
      </c>
      <c r="G97" s="1" t="s">
        <v>35</v>
      </c>
      <c r="H97" s="1" t="s">
        <v>36</v>
      </c>
      <c r="I97" s="1">
        <v>133</v>
      </c>
      <c r="J97" s="1" t="s">
        <v>37</v>
      </c>
      <c r="K97" s="1">
        <v>40</v>
      </c>
      <c r="L97" s="1">
        <v>0</v>
      </c>
      <c r="M97" s="1">
        <v>5320</v>
      </c>
      <c r="N97" s="1">
        <v>5320</v>
      </c>
      <c r="O97" s="1">
        <v>3059</v>
      </c>
      <c r="P97" s="1">
        <v>2261</v>
      </c>
      <c r="Q97" s="1" t="s">
        <v>54</v>
      </c>
      <c r="R97" s="1" t="s">
        <v>38</v>
      </c>
      <c r="S97" s="1" t="s">
        <v>63</v>
      </c>
    </row>
    <row r="98" spans="1:19" x14ac:dyDescent="0.3">
      <c r="A98" s="1" t="s">
        <v>197</v>
      </c>
      <c r="B98" s="2">
        <v>46284</v>
      </c>
      <c r="C98" s="1" t="s">
        <v>106</v>
      </c>
      <c r="D98" s="1" t="s">
        <v>107</v>
      </c>
      <c r="E98" s="1" t="s">
        <v>108</v>
      </c>
      <c r="F98" s="1" t="s">
        <v>127</v>
      </c>
      <c r="G98" s="1" t="s">
        <v>128</v>
      </c>
      <c r="H98" s="1" t="s">
        <v>129</v>
      </c>
      <c r="I98" s="1">
        <v>112</v>
      </c>
      <c r="J98" s="1" t="s">
        <v>37</v>
      </c>
      <c r="K98" s="1">
        <v>15</v>
      </c>
      <c r="L98" s="1">
        <v>0.02</v>
      </c>
      <c r="M98" s="1">
        <v>1680</v>
      </c>
      <c r="N98" s="1">
        <v>1646.4</v>
      </c>
      <c r="O98" s="1">
        <v>952</v>
      </c>
      <c r="P98" s="1">
        <v>694.4</v>
      </c>
      <c r="Q98" s="1" t="s">
        <v>54</v>
      </c>
      <c r="R98" s="1" t="s">
        <v>38</v>
      </c>
      <c r="S98" s="1" t="s">
        <v>63</v>
      </c>
    </row>
    <row r="99" spans="1:19" x14ac:dyDescent="0.3">
      <c r="A99" s="1" t="s">
        <v>198</v>
      </c>
      <c r="B99" s="2">
        <v>46281</v>
      </c>
      <c r="C99" s="1" t="s">
        <v>20</v>
      </c>
      <c r="D99" s="1" t="s">
        <v>21</v>
      </c>
      <c r="E99" s="1" t="s">
        <v>22</v>
      </c>
      <c r="F99" s="1" t="s">
        <v>23</v>
      </c>
      <c r="G99" s="1" t="s">
        <v>24</v>
      </c>
      <c r="H99" s="1" t="s">
        <v>25</v>
      </c>
      <c r="I99" s="1">
        <v>48</v>
      </c>
      <c r="J99" s="1" t="s">
        <v>26</v>
      </c>
      <c r="K99" s="1">
        <v>85</v>
      </c>
      <c r="L99" s="1">
        <v>0.05</v>
      </c>
      <c r="M99" s="1">
        <v>4080</v>
      </c>
      <c r="N99" s="1">
        <v>3876</v>
      </c>
      <c r="O99" s="1">
        <v>2448</v>
      </c>
      <c r="P99" s="1">
        <v>1428</v>
      </c>
      <c r="Q99" s="1" t="s">
        <v>27</v>
      </c>
      <c r="R99" s="1" t="s">
        <v>38</v>
      </c>
      <c r="S99" s="1" t="s">
        <v>68</v>
      </c>
    </row>
    <row r="100" spans="1:19" x14ac:dyDescent="0.3">
      <c r="A100" s="1" t="s">
        <v>199</v>
      </c>
      <c r="B100" s="2">
        <v>46283</v>
      </c>
      <c r="C100" s="1" t="s">
        <v>40</v>
      </c>
      <c r="D100" s="1" t="s">
        <v>41</v>
      </c>
      <c r="E100" s="1" t="s">
        <v>33</v>
      </c>
      <c r="F100" s="1" t="s">
        <v>84</v>
      </c>
      <c r="G100" s="1" t="s">
        <v>85</v>
      </c>
      <c r="H100" s="1" t="s">
        <v>86</v>
      </c>
      <c r="I100" s="1">
        <v>192</v>
      </c>
      <c r="J100" s="1" t="s">
        <v>37</v>
      </c>
      <c r="K100" s="1">
        <v>20</v>
      </c>
      <c r="L100" s="1">
        <v>0</v>
      </c>
      <c r="M100" s="1">
        <v>3840</v>
      </c>
      <c r="N100" s="1">
        <v>3840</v>
      </c>
      <c r="O100" s="1">
        <v>2208</v>
      </c>
      <c r="P100" s="1">
        <v>1632</v>
      </c>
      <c r="Q100" s="1" t="s">
        <v>54</v>
      </c>
      <c r="R100" s="1" t="s">
        <v>38</v>
      </c>
      <c r="S100" s="1" t="s">
        <v>63</v>
      </c>
    </row>
    <row r="101" spans="1:19" x14ac:dyDescent="0.3">
      <c r="A101" s="1" t="s">
        <v>200</v>
      </c>
      <c r="B101" s="2">
        <v>46266</v>
      </c>
      <c r="C101" s="1" t="s">
        <v>20</v>
      </c>
      <c r="D101" s="1" t="s">
        <v>21</v>
      </c>
      <c r="E101" s="1" t="s">
        <v>22</v>
      </c>
      <c r="F101" s="1" t="s">
        <v>56</v>
      </c>
      <c r="G101" s="1" t="s">
        <v>57</v>
      </c>
      <c r="H101" s="1" t="s">
        <v>58</v>
      </c>
      <c r="I101" s="1">
        <v>139</v>
      </c>
      <c r="J101" s="1" t="s">
        <v>26</v>
      </c>
      <c r="K101" s="1">
        <v>85</v>
      </c>
      <c r="L101" s="1">
        <v>0.02</v>
      </c>
      <c r="M101" s="1">
        <v>11815</v>
      </c>
      <c r="N101" s="1">
        <v>11578.7</v>
      </c>
      <c r="O101" s="1">
        <v>7089</v>
      </c>
      <c r="P101" s="1">
        <v>4489.7</v>
      </c>
      <c r="Q101" s="1" t="s">
        <v>27</v>
      </c>
      <c r="R101" s="1" t="s">
        <v>38</v>
      </c>
      <c r="S101" s="1" t="s">
        <v>63</v>
      </c>
    </row>
    <row r="102" spans="1:19" x14ac:dyDescent="0.3">
      <c r="A102" s="1" t="s">
        <v>201</v>
      </c>
      <c r="B102" s="2">
        <v>46290</v>
      </c>
      <c r="C102" s="1" t="s">
        <v>65</v>
      </c>
      <c r="D102" s="1" t="s">
        <v>66</v>
      </c>
      <c r="E102" s="1" t="s">
        <v>49</v>
      </c>
      <c r="F102" s="1" t="s">
        <v>127</v>
      </c>
      <c r="G102" s="1" t="s">
        <v>128</v>
      </c>
      <c r="H102" s="1" t="s">
        <v>129</v>
      </c>
      <c r="I102" s="1">
        <v>48</v>
      </c>
      <c r="J102" s="1" t="s">
        <v>53</v>
      </c>
      <c r="K102" s="1">
        <v>25</v>
      </c>
      <c r="L102" s="1">
        <v>0</v>
      </c>
      <c r="M102" s="1">
        <v>1200</v>
      </c>
      <c r="N102" s="1">
        <v>1200</v>
      </c>
      <c r="O102" s="1">
        <v>681.6</v>
      </c>
      <c r="P102" s="1">
        <v>518.4</v>
      </c>
      <c r="Q102" s="1" t="s">
        <v>54</v>
      </c>
      <c r="R102" s="1" t="s">
        <v>28</v>
      </c>
      <c r="S102" s="1" t="s">
        <v>68</v>
      </c>
    </row>
    <row r="103" spans="1:19" x14ac:dyDescent="0.3">
      <c r="A103" s="1" t="s">
        <v>202</v>
      </c>
      <c r="B103" s="2">
        <v>46283</v>
      </c>
      <c r="C103" s="1" t="s">
        <v>106</v>
      </c>
      <c r="D103" s="1" t="s">
        <v>107</v>
      </c>
      <c r="E103" s="1" t="s">
        <v>108</v>
      </c>
      <c r="F103" s="1" t="s">
        <v>42</v>
      </c>
      <c r="G103" s="1" t="s">
        <v>43</v>
      </c>
      <c r="H103" s="1" t="s">
        <v>44</v>
      </c>
      <c r="I103" s="1">
        <v>72</v>
      </c>
      <c r="J103" s="1" t="s">
        <v>37</v>
      </c>
      <c r="K103" s="1">
        <v>15</v>
      </c>
      <c r="L103" s="1">
        <v>0</v>
      </c>
      <c r="M103" s="1">
        <v>1080</v>
      </c>
      <c r="N103" s="1">
        <v>1080</v>
      </c>
      <c r="O103" s="1">
        <v>612</v>
      </c>
      <c r="P103" s="1">
        <v>468</v>
      </c>
      <c r="Q103" s="1" t="s">
        <v>73</v>
      </c>
      <c r="R103" s="1" t="s">
        <v>38</v>
      </c>
      <c r="S103" s="1" t="s">
        <v>29</v>
      </c>
    </row>
    <row r="104" spans="1:19" x14ac:dyDescent="0.3">
      <c r="A104" s="1" t="s">
        <v>203</v>
      </c>
      <c r="B104" s="2">
        <v>46278</v>
      </c>
      <c r="C104" s="1" t="s">
        <v>76</v>
      </c>
      <c r="D104" s="1" t="s">
        <v>77</v>
      </c>
      <c r="E104" s="1" t="s">
        <v>33</v>
      </c>
      <c r="F104" s="1" t="s">
        <v>70</v>
      </c>
      <c r="G104" s="1" t="s">
        <v>71</v>
      </c>
      <c r="H104" s="1" t="s">
        <v>72</v>
      </c>
      <c r="I104" s="1">
        <v>203</v>
      </c>
      <c r="J104" s="1" t="s">
        <v>37</v>
      </c>
      <c r="K104" s="1">
        <v>20</v>
      </c>
      <c r="L104" s="1">
        <v>0</v>
      </c>
      <c r="M104" s="1">
        <v>4060</v>
      </c>
      <c r="N104" s="1">
        <v>4060</v>
      </c>
      <c r="O104" s="1">
        <v>2395.4</v>
      </c>
      <c r="P104" s="1">
        <v>1664.6</v>
      </c>
      <c r="Q104" s="1" t="s">
        <v>73</v>
      </c>
      <c r="R104" s="1" t="s">
        <v>67</v>
      </c>
      <c r="S104" s="1" t="s">
        <v>68</v>
      </c>
    </row>
    <row r="105" spans="1:19" x14ac:dyDescent="0.3">
      <c r="A105" s="1" t="s">
        <v>204</v>
      </c>
      <c r="B105" s="2">
        <v>46285</v>
      </c>
      <c r="C105" s="1" t="s">
        <v>88</v>
      </c>
      <c r="D105" s="1" t="s">
        <v>89</v>
      </c>
      <c r="E105" s="1" t="s">
        <v>62</v>
      </c>
      <c r="F105" s="1" t="s">
        <v>116</v>
      </c>
      <c r="G105" s="1" t="s">
        <v>117</v>
      </c>
      <c r="H105" s="1" t="s">
        <v>118</v>
      </c>
      <c r="I105" s="1">
        <v>218</v>
      </c>
      <c r="J105" s="1" t="s">
        <v>37</v>
      </c>
      <c r="K105" s="1">
        <v>20</v>
      </c>
      <c r="L105" s="1">
        <v>0.03</v>
      </c>
      <c r="M105" s="1">
        <v>4360</v>
      </c>
      <c r="N105" s="1">
        <v>4229.2</v>
      </c>
      <c r="O105" s="1">
        <v>2398</v>
      </c>
      <c r="P105" s="1">
        <v>1831.2</v>
      </c>
      <c r="Q105" s="1" t="s">
        <v>73</v>
      </c>
      <c r="R105" s="1" t="s">
        <v>28</v>
      </c>
      <c r="S105" s="1" t="s">
        <v>63</v>
      </c>
    </row>
    <row r="106" spans="1:19" x14ac:dyDescent="0.3">
      <c r="A106" s="1" t="s">
        <v>205</v>
      </c>
      <c r="B106" s="2">
        <v>46279</v>
      </c>
      <c r="C106" s="1" t="s">
        <v>20</v>
      </c>
      <c r="D106" s="1" t="s">
        <v>21</v>
      </c>
      <c r="E106" s="1" t="s">
        <v>22</v>
      </c>
      <c r="F106" s="1" t="s">
        <v>116</v>
      </c>
      <c r="G106" s="1" t="s">
        <v>117</v>
      </c>
      <c r="H106" s="1" t="s">
        <v>118</v>
      </c>
      <c r="I106" s="1">
        <v>171</v>
      </c>
      <c r="J106" s="1" t="s">
        <v>26</v>
      </c>
      <c r="K106" s="1">
        <v>85</v>
      </c>
      <c r="L106" s="1">
        <v>0.05</v>
      </c>
      <c r="M106" s="1">
        <v>14535</v>
      </c>
      <c r="N106" s="1">
        <v>13808.25</v>
      </c>
      <c r="O106" s="1">
        <v>8721</v>
      </c>
      <c r="P106" s="1">
        <v>5087.25</v>
      </c>
      <c r="Q106" s="1" t="s">
        <v>54</v>
      </c>
      <c r="R106" s="1" t="s">
        <v>38</v>
      </c>
      <c r="S106" s="1" t="s">
        <v>63</v>
      </c>
    </row>
    <row r="107" spans="1:19" x14ac:dyDescent="0.3">
      <c r="A107" s="1" t="s">
        <v>206</v>
      </c>
      <c r="B107" s="2">
        <v>46295</v>
      </c>
      <c r="C107" s="1" t="s">
        <v>106</v>
      </c>
      <c r="D107" s="1" t="s">
        <v>107</v>
      </c>
      <c r="E107" s="1" t="s">
        <v>108</v>
      </c>
      <c r="F107" s="1" t="s">
        <v>34</v>
      </c>
      <c r="G107" s="1" t="s">
        <v>35</v>
      </c>
      <c r="H107" s="1" t="s">
        <v>36</v>
      </c>
      <c r="I107" s="1">
        <v>170</v>
      </c>
      <c r="J107" s="1" t="s">
        <v>37</v>
      </c>
      <c r="K107" s="1">
        <v>15</v>
      </c>
      <c r="L107" s="1">
        <v>0</v>
      </c>
      <c r="M107" s="1">
        <v>2550</v>
      </c>
      <c r="N107" s="1">
        <v>2550</v>
      </c>
      <c r="O107" s="1">
        <v>1445</v>
      </c>
      <c r="P107" s="1">
        <v>1105</v>
      </c>
      <c r="Q107" s="1" t="s">
        <v>45</v>
      </c>
      <c r="R107" s="1" t="s">
        <v>28</v>
      </c>
      <c r="S107" s="1" t="s">
        <v>68</v>
      </c>
    </row>
    <row r="108" spans="1:19" x14ac:dyDescent="0.3">
      <c r="A108" s="1" t="s">
        <v>207</v>
      </c>
      <c r="B108" s="2">
        <v>46292</v>
      </c>
      <c r="C108" s="1" t="s">
        <v>88</v>
      </c>
      <c r="D108" s="1" t="s">
        <v>89</v>
      </c>
      <c r="E108" s="1" t="s">
        <v>62</v>
      </c>
      <c r="F108" s="1" t="s">
        <v>112</v>
      </c>
      <c r="G108" s="1" t="s">
        <v>113</v>
      </c>
      <c r="H108" s="1" t="s">
        <v>114</v>
      </c>
      <c r="I108" s="1">
        <v>200</v>
      </c>
      <c r="J108" s="1" t="s">
        <v>37</v>
      </c>
      <c r="K108" s="1">
        <v>20</v>
      </c>
      <c r="L108" s="1">
        <v>0</v>
      </c>
      <c r="M108" s="1">
        <v>4000</v>
      </c>
      <c r="N108" s="1">
        <v>4000</v>
      </c>
      <c r="O108" s="1">
        <v>2200</v>
      </c>
      <c r="P108" s="1">
        <v>1800</v>
      </c>
      <c r="Q108" s="1" t="s">
        <v>54</v>
      </c>
      <c r="R108" s="1" t="s">
        <v>38</v>
      </c>
      <c r="S108" s="1" t="s">
        <v>63</v>
      </c>
    </row>
    <row r="109" spans="1:19" x14ac:dyDescent="0.3">
      <c r="A109" s="1" t="s">
        <v>208</v>
      </c>
      <c r="B109" s="2">
        <v>46267</v>
      </c>
      <c r="C109" s="1" t="s">
        <v>88</v>
      </c>
      <c r="D109" s="1" t="s">
        <v>89</v>
      </c>
      <c r="E109" s="1" t="s">
        <v>62</v>
      </c>
      <c r="F109" s="1" t="s">
        <v>50</v>
      </c>
      <c r="G109" s="1" t="s">
        <v>51</v>
      </c>
      <c r="H109" s="1" t="s">
        <v>52</v>
      </c>
      <c r="I109" s="1">
        <v>97</v>
      </c>
      <c r="J109" s="1" t="s">
        <v>37</v>
      </c>
      <c r="K109" s="1">
        <v>20</v>
      </c>
      <c r="L109" s="1">
        <v>0</v>
      </c>
      <c r="M109" s="1">
        <v>1940</v>
      </c>
      <c r="N109" s="1">
        <v>1940</v>
      </c>
      <c r="O109" s="1">
        <v>1067</v>
      </c>
      <c r="P109" s="1">
        <v>873</v>
      </c>
      <c r="Q109" s="1" t="s">
        <v>45</v>
      </c>
      <c r="R109" s="1" t="s">
        <v>38</v>
      </c>
      <c r="S109" s="1" t="s">
        <v>29</v>
      </c>
    </row>
    <row r="110" spans="1:19" x14ac:dyDescent="0.3">
      <c r="A110" s="1" t="s">
        <v>209</v>
      </c>
      <c r="B110" s="2">
        <v>46282</v>
      </c>
      <c r="C110" s="1" t="s">
        <v>20</v>
      </c>
      <c r="D110" s="1" t="s">
        <v>21</v>
      </c>
      <c r="E110" s="1" t="s">
        <v>22</v>
      </c>
      <c r="F110" s="1" t="s">
        <v>142</v>
      </c>
      <c r="G110" s="1" t="s">
        <v>143</v>
      </c>
      <c r="H110" s="1" t="s">
        <v>144</v>
      </c>
      <c r="I110" s="1">
        <v>118</v>
      </c>
      <c r="J110" s="1" t="s">
        <v>26</v>
      </c>
      <c r="K110" s="1">
        <v>85</v>
      </c>
      <c r="L110" s="1">
        <v>0</v>
      </c>
      <c r="M110" s="1">
        <v>10030</v>
      </c>
      <c r="N110" s="1">
        <v>10030</v>
      </c>
      <c r="O110" s="1">
        <v>6018</v>
      </c>
      <c r="P110" s="1">
        <v>4012</v>
      </c>
      <c r="Q110" s="1" t="s">
        <v>27</v>
      </c>
      <c r="R110" s="1" t="s">
        <v>38</v>
      </c>
      <c r="S110" s="1" t="s">
        <v>29</v>
      </c>
    </row>
    <row r="111" spans="1:19" x14ac:dyDescent="0.3">
      <c r="A111" s="1" t="s">
        <v>210</v>
      </c>
      <c r="B111" s="2">
        <v>46291</v>
      </c>
      <c r="C111" s="1" t="s">
        <v>20</v>
      </c>
      <c r="D111" s="1" t="s">
        <v>21</v>
      </c>
      <c r="E111" s="1" t="s">
        <v>22</v>
      </c>
      <c r="F111" s="1" t="s">
        <v>23</v>
      </c>
      <c r="G111" s="1" t="s">
        <v>24</v>
      </c>
      <c r="H111" s="1" t="s">
        <v>25</v>
      </c>
      <c r="I111" s="1">
        <v>92</v>
      </c>
      <c r="J111" s="1" t="s">
        <v>26</v>
      </c>
      <c r="K111" s="1">
        <v>85</v>
      </c>
      <c r="L111" s="1">
        <v>0.05</v>
      </c>
      <c r="M111" s="1">
        <v>7820</v>
      </c>
      <c r="N111" s="1">
        <v>7429</v>
      </c>
      <c r="O111" s="1">
        <v>4692</v>
      </c>
      <c r="P111" s="1">
        <v>2737</v>
      </c>
      <c r="Q111" s="1" t="s">
        <v>73</v>
      </c>
      <c r="R111" s="1" t="s">
        <v>38</v>
      </c>
      <c r="S111" s="1" t="s">
        <v>29</v>
      </c>
    </row>
    <row r="112" spans="1:19" x14ac:dyDescent="0.3">
      <c r="A112" s="1" t="s">
        <v>211</v>
      </c>
      <c r="B112" s="2">
        <v>46274</v>
      </c>
      <c r="C112" s="1" t="s">
        <v>40</v>
      </c>
      <c r="D112" s="1" t="s">
        <v>41</v>
      </c>
      <c r="E112" s="1" t="s">
        <v>33</v>
      </c>
      <c r="F112" s="1" t="s">
        <v>142</v>
      </c>
      <c r="G112" s="1" t="s">
        <v>143</v>
      </c>
      <c r="H112" s="1" t="s">
        <v>144</v>
      </c>
      <c r="I112" s="1">
        <v>38</v>
      </c>
      <c r="J112" s="1" t="s">
        <v>37</v>
      </c>
      <c r="K112" s="1">
        <v>20</v>
      </c>
      <c r="L112" s="1">
        <v>0</v>
      </c>
      <c r="M112" s="1">
        <v>760</v>
      </c>
      <c r="N112" s="1">
        <v>760</v>
      </c>
      <c r="O112" s="1">
        <v>437</v>
      </c>
      <c r="P112" s="1">
        <v>323</v>
      </c>
      <c r="Q112" s="1" t="s">
        <v>27</v>
      </c>
      <c r="R112" s="1" t="s">
        <v>28</v>
      </c>
      <c r="S112" s="1" t="s">
        <v>29</v>
      </c>
    </row>
    <row r="113" spans="1:19" x14ac:dyDescent="0.3">
      <c r="A113" s="1" t="s">
        <v>212</v>
      </c>
      <c r="B113" s="2">
        <v>46281</v>
      </c>
      <c r="C113" s="1" t="s">
        <v>47</v>
      </c>
      <c r="D113" s="1" t="s">
        <v>48</v>
      </c>
      <c r="E113" s="1" t="s">
        <v>49</v>
      </c>
      <c r="F113" s="1" t="s">
        <v>70</v>
      </c>
      <c r="G113" s="1" t="s">
        <v>71</v>
      </c>
      <c r="H113" s="1" t="s">
        <v>72</v>
      </c>
      <c r="I113" s="1">
        <v>94</v>
      </c>
      <c r="J113" s="1" t="s">
        <v>53</v>
      </c>
      <c r="K113" s="1">
        <v>25</v>
      </c>
      <c r="L113" s="1">
        <v>0.03</v>
      </c>
      <c r="M113" s="1">
        <v>2350</v>
      </c>
      <c r="N113" s="1">
        <v>2279.5</v>
      </c>
      <c r="O113" s="1">
        <v>1316</v>
      </c>
      <c r="P113" s="1">
        <v>963.5</v>
      </c>
      <c r="Q113" s="1" t="s">
        <v>73</v>
      </c>
      <c r="R113" s="1" t="s">
        <v>38</v>
      </c>
      <c r="S113" s="1" t="s">
        <v>68</v>
      </c>
    </row>
    <row r="114" spans="1:19" x14ac:dyDescent="0.3">
      <c r="A114" s="1" t="s">
        <v>213</v>
      </c>
      <c r="B114" s="2">
        <v>46288</v>
      </c>
      <c r="C114" s="1" t="s">
        <v>40</v>
      </c>
      <c r="D114" s="1" t="s">
        <v>41</v>
      </c>
      <c r="E114" s="1" t="s">
        <v>33</v>
      </c>
      <c r="F114" s="1" t="s">
        <v>70</v>
      </c>
      <c r="G114" s="1" t="s">
        <v>71</v>
      </c>
      <c r="H114" s="1" t="s">
        <v>72</v>
      </c>
      <c r="I114" s="1">
        <v>129</v>
      </c>
      <c r="J114" s="1" t="s">
        <v>37</v>
      </c>
      <c r="K114" s="1">
        <v>20</v>
      </c>
      <c r="L114" s="1">
        <v>0.03</v>
      </c>
      <c r="M114" s="1">
        <v>2580</v>
      </c>
      <c r="N114" s="1">
        <v>2502.6</v>
      </c>
      <c r="O114" s="1">
        <v>1483.5</v>
      </c>
      <c r="P114" s="1">
        <v>1019.1</v>
      </c>
      <c r="Q114" s="1" t="s">
        <v>73</v>
      </c>
      <c r="R114" s="1" t="s">
        <v>67</v>
      </c>
      <c r="S114" s="1" t="s">
        <v>68</v>
      </c>
    </row>
    <row r="115" spans="1:19" x14ac:dyDescent="0.3">
      <c r="A115" s="1" t="s">
        <v>214</v>
      </c>
      <c r="B115" s="2">
        <v>46279</v>
      </c>
      <c r="C115" s="1" t="s">
        <v>106</v>
      </c>
      <c r="D115" s="1" t="s">
        <v>107</v>
      </c>
      <c r="E115" s="1" t="s">
        <v>108</v>
      </c>
      <c r="F115" s="1" t="s">
        <v>56</v>
      </c>
      <c r="G115" s="1" t="s">
        <v>57</v>
      </c>
      <c r="H115" s="1" t="s">
        <v>58</v>
      </c>
      <c r="I115" s="1">
        <v>163</v>
      </c>
      <c r="J115" s="1" t="s">
        <v>37</v>
      </c>
      <c r="K115" s="1">
        <v>15</v>
      </c>
      <c r="L115" s="1">
        <v>0</v>
      </c>
      <c r="M115" s="1">
        <v>2445</v>
      </c>
      <c r="N115" s="1">
        <v>2445</v>
      </c>
      <c r="O115" s="1">
        <v>1385.5</v>
      </c>
      <c r="P115" s="1">
        <v>1059.5</v>
      </c>
      <c r="Q115" s="1" t="s">
        <v>27</v>
      </c>
      <c r="R115" s="1" t="s">
        <v>28</v>
      </c>
      <c r="S115" s="1" t="s">
        <v>29</v>
      </c>
    </row>
    <row r="116" spans="1:19" x14ac:dyDescent="0.3">
      <c r="A116" s="1" t="s">
        <v>215</v>
      </c>
      <c r="B116" s="2">
        <v>46271</v>
      </c>
      <c r="C116" s="1" t="s">
        <v>20</v>
      </c>
      <c r="D116" s="1" t="s">
        <v>21</v>
      </c>
      <c r="E116" s="1" t="s">
        <v>22</v>
      </c>
      <c r="F116" s="1" t="s">
        <v>92</v>
      </c>
      <c r="G116" s="1" t="s">
        <v>93</v>
      </c>
      <c r="H116" s="1" t="s">
        <v>94</v>
      </c>
      <c r="I116" s="1">
        <v>161</v>
      </c>
      <c r="J116" s="1" t="s">
        <v>26</v>
      </c>
      <c r="K116" s="1">
        <v>85</v>
      </c>
      <c r="L116" s="1">
        <v>0</v>
      </c>
      <c r="M116" s="1">
        <v>13685</v>
      </c>
      <c r="N116" s="1">
        <v>13685</v>
      </c>
      <c r="O116" s="1">
        <v>8211</v>
      </c>
      <c r="P116" s="1">
        <v>5474</v>
      </c>
      <c r="Q116" s="1" t="s">
        <v>45</v>
      </c>
      <c r="R116" s="1" t="s">
        <v>38</v>
      </c>
      <c r="S116" s="1" t="s">
        <v>63</v>
      </c>
    </row>
    <row r="117" spans="1:19" x14ac:dyDescent="0.3">
      <c r="A117" s="1" t="s">
        <v>216</v>
      </c>
      <c r="B117" s="2">
        <v>46277</v>
      </c>
      <c r="C117" s="1" t="s">
        <v>82</v>
      </c>
      <c r="D117" s="1" t="s">
        <v>83</v>
      </c>
      <c r="E117" s="1" t="s">
        <v>33</v>
      </c>
      <c r="F117" s="1" t="s">
        <v>127</v>
      </c>
      <c r="G117" s="1" t="s">
        <v>128</v>
      </c>
      <c r="H117" s="1" t="s">
        <v>129</v>
      </c>
      <c r="I117" s="1">
        <v>85</v>
      </c>
      <c r="J117" s="1" t="s">
        <v>37</v>
      </c>
      <c r="K117" s="1">
        <v>35</v>
      </c>
      <c r="L117" s="1">
        <v>0</v>
      </c>
      <c r="M117" s="1">
        <v>2975</v>
      </c>
      <c r="N117" s="1">
        <v>2975</v>
      </c>
      <c r="O117" s="1">
        <v>1700</v>
      </c>
      <c r="P117" s="1">
        <v>1275</v>
      </c>
      <c r="Q117" s="1" t="s">
        <v>73</v>
      </c>
      <c r="R117" s="1" t="s">
        <v>67</v>
      </c>
      <c r="S117" s="1" t="s">
        <v>68</v>
      </c>
    </row>
    <row r="118" spans="1:19" x14ac:dyDescent="0.3">
      <c r="A118" s="1" t="s">
        <v>217</v>
      </c>
      <c r="B118" s="2">
        <v>46273</v>
      </c>
      <c r="C118" s="1" t="s">
        <v>20</v>
      </c>
      <c r="D118" s="1" t="s">
        <v>21</v>
      </c>
      <c r="E118" s="1" t="s">
        <v>22</v>
      </c>
      <c r="F118" s="1" t="s">
        <v>78</v>
      </c>
      <c r="G118" s="1" t="s">
        <v>79</v>
      </c>
      <c r="H118" s="1" t="s">
        <v>80</v>
      </c>
      <c r="I118" s="1">
        <v>80</v>
      </c>
      <c r="J118" s="1" t="s">
        <v>26</v>
      </c>
      <c r="K118" s="1">
        <v>85</v>
      </c>
      <c r="L118" s="1">
        <v>0.02</v>
      </c>
      <c r="M118" s="1">
        <v>6800</v>
      </c>
      <c r="N118" s="1">
        <v>6664</v>
      </c>
      <c r="O118" s="1">
        <v>4080</v>
      </c>
      <c r="P118" s="1">
        <v>2584</v>
      </c>
      <c r="Q118" s="1" t="s">
        <v>54</v>
      </c>
      <c r="R118" s="1" t="s">
        <v>67</v>
      </c>
      <c r="S118" s="1" t="s">
        <v>63</v>
      </c>
    </row>
    <row r="119" spans="1:19" x14ac:dyDescent="0.3">
      <c r="A119" s="1" t="s">
        <v>218</v>
      </c>
      <c r="B119" s="2">
        <v>46276</v>
      </c>
      <c r="C119" s="1" t="s">
        <v>65</v>
      </c>
      <c r="D119" s="1" t="s">
        <v>66</v>
      </c>
      <c r="E119" s="1" t="s">
        <v>49</v>
      </c>
      <c r="F119" s="1" t="s">
        <v>78</v>
      </c>
      <c r="G119" s="1" t="s">
        <v>79</v>
      </c>
      <c r="H119" s="1" t="s">
        <v>80</v>
      </c>
      <c r="I119" s="1">
        <v>38</v>
      </c>
      <c r="J119" s="1" t="s">
        <v>53</v>
      </c>
      <c r="K119" s="1">
        <v>25</v>
      </c>
      <c r="L119" s="1">
        <v>0.05</v>
      </c>
      <c r="M119" s="1">
        <v>950</v>
      </c>
      <c r="N119" s="1">
        <v>902.5</v>
      </c>
      <c r="O119" s="1">
        <v>539.6</v>
      </c>
      <c r="P119" s="1">
        <v>362.9</v>
      </c>
      <c r="Q119" s="1" t="s">
        <v>54</v>
      </c>
      <c r="R119" s="1" t="s">
        <v>28</v>
      </c>
      <c r="S119" s="1" t="s">
        <v>29</v>
      </c>
    </row>
    <row r="120" spans="1:19" x14ac:dyDescent="0.3">
      <c r="A120" s="1" t="s">
        <v>219</v>
      </c>
      <c r="B120" s="2">
        <v>46287</v>
      </c>
      <c r="C120" s="1" t="s">
        <v>82</v>
      </c>
      <c r="D120" s="1" t="s">
        <v>83</v>
      </c>
      <c r="E120" s="1" t="s">
        <v>33</v>
      </c>
      <c r="F120" s="1" t="s">
        <v>42</v>
      </c>
      <c r="G120" s="1" t="s">
        <v>43</v>
      </c>
      <c r="H120" s="1" t="s">
        <v>44</v>
      </c>
      <c r="I120" s="1">
        <v>194</v>
      </c>
      <c r="J120" s="1" t="s">
        <v>37</v>
      </c>
      <c r="K120" s="1">
        <v>35</v>
      </c>
      <c r="L120" s="1">
        <v>0.02</v>
      </c>
      <c r="M120" s="1">
        <v>6790</v>
      </c>
      <c r="N120" s="1">
        <v>6654.2</v>
      </c>
      <c r="O120" s="1">
        <v>3880</v>
      </c>
      <c r="P120" s="1">
        <v>2774.2</v>
      </c>
      <c r="Q120" s="1" t="s">
        <v>27</v>
      </c>
      <c r="R120" s="1" t="s">
        <v>38</v>
      </c>
      <c r="S120" s="1" t="s">
        <v>63</v>
      </c>
    </row>
    <row r="121" spans="1:19" x14ac:dyDescent="0.3">
      <c r="A121" s="1" t="s">
        <v>220</v>
      </c>
      <c r="B121" s="2">
        <v>46288</v>
      </c>
      <c r="C121" s="1" t="s">
        <v>106</v>
      </c>
      <c r="D121" s="1" t="s">
        <v>107</v>
      </c>
      <c r="E121" s="1" t="s">
        <v>108</v>
      </c>
      <c r="F121" s="1" t="s">
        <v>34</v>
      </c>
      <c r="G121" s="1" t="s">
        <v>35</v>
      </c>
      <c r="H121" s="1" t="s">
        <v>36</v>
      </c>
      <c r="I121" s="1">
        <v>67</v>
      </c>
      <c r="J121" s="1" t="s">
        <v>37</v>
      </c>
      <c r="K121" s="1">
        <v>15</v>
      </c>
      <c r="L121" s="1">
        <v>0.03</v>
      </c>
      <c r="M121" s="1">
        <v>1005</v>
      </c>
      <c r="N121" s="1">
        <v>974.85</v>
      </c>
      <c r="O121" s="1">
        <v>569.5</v>
      </c>
      <c r="P121" s="1">
        <v>405.35</v>
      </c>
      <c r="Q121" s="1" t="s">
        <v>73</v>
      </c>
      <c r="R121" s="1" t="s">
        <v>38</v>
      </c>
      <c r="S121" s="1" t="s">
        <v>68</v>
      </c>
    </row>
    <row r="122" spans="1:19" x14ac:dyDescent="0.3">
      <c r="A122" s="1" t="s">
        <v>221</v>
      </c>
      <c r="B122" s="2">
        <v>46269</v>
      </c>
      <c r="C122" s="1" t="s">
        <v>82</v>
      </c>
      <c r="D122" s="1" t="s">
        <v>83</v>
      </c>
      <c r="E122" s="1" t="s">
        <v>33</v>
      </c>
      <c r="F122" s="1" t="s">
        <v>70</v>
      </c>
      <c r="G122" s="1" t="s">
        <v>71</v>
      </c>
      <c r="H122" s="1" t="s">
        <v>72</v>
      </c>
      <c r="I122" s="1">
        <v>67</v>
      </c>
      <c r="J122" s="1" t="s">
        <v>37</v>
      </c>
      <c r="K122" s="1">
        <v>35</v>
      </c>
      <c r="L122" s="1">
        <v>0.05</v>
      </c>
      <c r="M122" s="1">
        <v>2345</v>
      </c>
      <c r="N122" s="1">
        <v>2227.75</v>
      </c>
      <c r="O122" s="1">
        <v>1340</v>
      </c>
      <c r="P122" s="1">
        <v>887.75</v>
      </c>
      <c r="Q122" s="1" t="s">
        <v>45</v>
      </c>
      <c r="R122" s="1" t="s">
        <v>38</v>
      </c>
      <c r="S122" s="1" t="s">
        <v>29</v>
      </c>
    </row>
    <row r="123" spans="1:19" x14ac:dyDescent="0.3">
      <c r="A123" s="1" t="s">
        <v>222</v>
      </c>
      <c r="B123" s="2">
        <v>46268</v>
      </c>
      <c r="C123" s="1" t="s">
        <v>106</v>
      </c>
      <c r="D123" s="1" t="s">
        <v>107</v>
      </c>
      <c r="E123" s="1" t="s">
        <v>108</v>
      </c>
      <c r="F123" s="1" t="s">
        <v>101</v>
      </c>
      <c r="G123" s="1" t="s">
        <v>102</v>
      </c>
      <c r="H123" s="1" t="s">
        <v>103</v>
      </c>
      <c r="I123" s="1">
        <v>24</v>
      </c>
      <c r="J123" s="1" t="s">
        <v>37</v>
      </c>
      <c r="K123" s="1">
        <v>15</v>
      </c>
      <c r="L123" s="1">
        <v>0</v>
      </c>
      <c r="M123" s="1">
        <v>360</v>
      </c>
      <c r="N123" s="1">
        <v>360</v>
      </c>
      <c r="O123" s="1">
        <v>204</v>
      </c>
      <c r="P123" s="1">
        <v>156</v>
      </c>
      <c r="Q123" s="1" t="s">
        <v>54</v>
      </c>
      <c r="R123" s="1" t="s">
        <v>38</v>
      </c>
      <c r="S123" s="1" t="s">
        <v>29</v>
      </c>
    </row>
    <row r="124" spans="1:19" x14ac:dyDescent="0.3">
      <c r="A124" s="1" t="s">
        <v>223</v>
      </c>
      <c r="B124" s="2">
        <v>46294</v>
      </c>
      <c r="C124" s="1" t="s">
        <v>47</v>
      </c>
      <c r="D124" s="1" t="s">
        <v>48</v>
      </c>
      <c r="E124" s="1" t="s">
        <v>49</v>
      </c>
      <c r="F124" s="1" t="s">
        <v>42</v>
      </c>
      <c r="G124" s="1" t="s">
        <v>43</v>
      </c>
      <c r="H124" s="1" t="s">
        <v>44</v>
      </c>
      <c r="I124" s="1">
        <v>202</v>
      </c>
      <c r="J124" s="1" t="s">
        <v>53</v>
      </c>
      <c r="K124" s="1">
        <v>25</v>
      </c>
      <c r="L124" s="1">
        <v>0</v>
      </c>
      <c r="M124" s="1">
        <v>5050</v>
      </c>
      <c r="N124" s="1">
        <v>5050</v>
      </c>
      <c r="O124" s="1">
        <v>2828</v>
      </c>
      <c r="P124" s="1">
        <v>2222</v>
      </c>
      <c r="Q124" s="1" t="s">
        <v>27</v>
      </c>
      <c r="R124" s="1" t="s">
        <v>67</v>
      </c>
      <c r="S124" s="1" t="s">
        <v>63</v>
      </c>
    </row>
    <row r="125" spans="1:19" x14ac:dyDescent="0.3">
      <c r="A125" s="1" t="s">
        <v>224</v>
      </c>
      <c r="B125" s="2">
        <v>46281</v>
      </c>
      <c r="C125" s="1" t="s">
        <v>88</v>
      </c>
      <c r="D125" s="1" t="s">
        <v>89</v>
      </c>
      <c r="E125" s="1" t="s">
        <v>62</v>
      </c>
      <c r="F125" s="1" t="s">
        <v>97</v>
      </c>
      <c r="G125" s="1" t="s">
        <v>98</v>
      </c>
      <c r="H125" s="1" t="s">
        <v>94</v>
      </c>
      <c r="I125" s="1">
        <v>218</v>
      </c>
      <c r="J125" s="1" t="s">
        <v>37</v>
      </c>
      <c r="K125" s="1">
        <v>20</v>
      </c>
      <c r="L125" s="1">
        <v>0.05</v>
      </c>
      <c r="M125" s="1">
        <v>4360</v>
      </c>
      <c r="N125" s="1">
        <v>4142</v>
      </c>
      <c r="O125" s="1">
        <v>2398</v>
      </c>
      <c r="P125" s="1">
        <v>1744</v>
      </c>
      <c r="Q125" s="1" t="s">
        <v>27</v>
      </c>
      <c r="R125" s="1" t="s">
        <v>38</v>
      </c>
      <c r="S125" s="1" t="s">
        <v>68</v>
      </c>
    </row>
    <row r="126" spans="1:19" x14ac:dyDescent="0.3">
      <c r="A126" s="1" t="s">
        <v>225</v>
      </c>
      <c r="B126" s="2">
        <v>46268</v>
      </c>
      <c r="C126" s="1" t="s">
        <v>31</v>
      </c>
      <c r="D126" s="1" t="s">
        <v>32</v>
      </c>
      <c r="E126" s="1" t="s">
        <v>33</v>
      </c>
      <c r="F126" s="1" t="s">
        <v>34</v>
      </c>
      <c r="G126" s="1" t="s">
        <v>35</v>
      </c>
      <c r="H126" s="1" t="s">
        <v>36</v>
      </c>
      <c r="I126" s="1">
        <v>40</v>
      </c>
      <c r="J126" s="1" t="s">
        <v>37</v>
      </c>
      <c r="K126" s="1">
        <v>50</v>
      </c>
      <c r="L126" s="1">
        <v>0</v>
      </c>
      <c r="M126" s="1">
        <v>2000</v>
      </c>
      <c r="N126" s="1">
        <v>2000</v>
      </c>
      <c r="O126" s="1">
        <v>1160</v>
      </c>
      <c r="P126" s="1">
        <v>840</v>
      </c>
      <c r="Q126" s="1" t="s">
        <v>54</v>
      </c>
      <c r="R126" s="1" t="s">
        <v>38</v>
      </c>
      <c r="S126" s="1" t="s">
        <v>63</v>
      </c>
    </row>
    <row r="127" spans="1:19" x14ac:dyDescent="0.3">
      <c r="A127" s="1" t="s">
        <v>226</v>
      </c>
      <c r="B127" s="2">
        <v>46286</v>
      </c>
      <c r="C127" s="1" t="s">
        <v>76</v>
      </c>
      <c r="D127" s="1" t="s">
        <v>77</v>
      </c>
      <c r="E127" s="1" t="s">
        <v>33</v>
      </c>
      <c r="F127" s="1" t="s">
        <v>70</v>
      </c>
      <c r="G127" s="1" t="s">
        <v>71</v>
      </c>
      <c r="H127" s="1" t="s">
        <v>72</v>
      </c>
      <c r="I127" s="1">
        <v>195</v>
      </c>
      <c r="J127" s="1" t="s">
        <v>37</v>
      </c>
      <c r="K127" s="1">
        <v>20</v>
      </c>
      <c r="L127" s="1">
        <v>0.05</v>
      </c>
      <c r="M127" s="1">
        <v>3900</v>
      </c>
      <c r="N127" s="1">
        <v>3705</v>
      </c>
      <c r="O127" s="1">
        <v>2301</v>
      </c>
      <c r="P127" s="1">
        <v>1404</v>
      </c>
      <c r="Q127" s="1" t="s">
        <v>73</v>
      </c>
      <c r="R127" s="1" t="s">
        <v>38</v>
      </c>
      <c r="S127" s="1" t="s">
        <v>68</v>
      </c>
    </row>
    <row r="128" spans="1:19" x14ac:dyDescent="0.3">
      <c r="A128" s="1" t="s">
        <v>227</v>
      </c>
      <c r="B128" s="2">
        <v>46283</v>
      </c>
      <c r="C128" s="1" t="s">
        <v>60</v>
      </c>
      <c r="D128" s="1" t="s">
        <v>61</v>
      </c>
      <c r="E128" s="1" t="s">
        <v>62</v>
      </c>
      <c r="F128" s="1" t="s">
        <v>127</v>
      </c>
      <c r="G128" s="1" t="s">
        <v>128</v>
      </c>
      <c r="H128" s="1" t="s">
        <v>129</v>
      </c>
      <c r="I128" s="1">
        <v>41</v>
      </c>
      <c r="J128" s="1" t="s">
        <v>37</v>
      </c>
      <c r="K128" s="1">
        <v>40</v>
      </c>
      <c r="L128" s="1">
        <v>0.02</v>
      </c>
      <c r="M128" s="1">
        <v>1640</v>
      </c>
      <c r="N128" s="1">
        <v>1607.2</v>
      </c>
      <c r="O128" s="1">
        <v>943</v>
      </c>
      <c r="P128" s="1">
        <v>664.2</v>
      </c>
      <c r="Q128" s="1" t="s">
        <v>54</v>
      </c>
      <c r="R128" s="1" t="s">
        <v>38</v>
      </c>
      <c r="S128" s="1" t="s">
        <v>29</v>
      </c>
    </row>
    <row r="129" spans="1:19" x14ac:dyDescent="0.3">
      <c r="A129" s="1" t="s">
        <v>228</v>
      </c>
      <c r="B129" s="2">
        <v>46282</v>
      </c>
      <c r="C129" s="1" t="s">
        <v>65</v>
      </c>
      <c r="D129" s="1" t="s">
        <v>66</v>
      </c>
      <c r="E129" s="1" t="s">
        <v>49</v>
      </c>
      <c r="F129" s="1" t="s">
        <v>112</v>
      </c>
      <c r="G129" s="1" t="s">
        <v>113</v>
      </c>
      <c r="H129" s="1" t="s">
        <v>114</v>
      </c>
      <c r="I129" s="1">
        <v>93</v>
      </c>
      <c r="J129" s="1" t="s">
        <v>53</v>
      </c>
      <c r="K129" s="1">
        <v>25</v>
      </c>
      <c r="L129" s="1">
        <v>0</v>
      </c>
      <c r="M129" s="1">
        <v>2325</v>
      </c>
      <c r="N129" s="1">
        <v>2325</v>
      </c>
      <c r="O129" s="1">
        <v>1320.6</v>
      </c>
      <c r="P129" s="1">
        <v>1004.4</v>
      </c>
      <c r="Q129" s="1" t="s">
        <v>45</v>
      </c>
      <c r="R129" s="1" t="s">
        <v>38</v>
      </c>
      <c r="S129" s="1" t="s">
        <v>63</v>
      </c>
    </row>
    <row r="130" spans="1:19" x14ac:dyDescent="0.3">
      <c r="A130" s="1" t="s">
        <v>229</v>
      </c>
      <c r="B130" s="2">
        <v>46272</v>
      </c>
      <c r="C130" s="1" t="s">
        <v>31</v>
      </c>
      <c r="D130" s="1" t="s">
        <v>32</v>
      </c>
      <c r="E130" s="1" t="s">
        <v>33</v>
      </c>
      <c r="F130" s="1" t="s">
        <v>84</v>
      </c>
      <c r="G130" s="1" t="s">
        <v>85</v>
      </c>
      <c r="H130" s="1" t="s">
        <v>86</v>
      </c>
      <c r="I130" s="1">
        <v>80</v>
      </c>
      <c r="J130" s="1" t="s">
        <v>37</v>
      </c>
      <c r="K130" s="1">
        <v>50</v>
      </c>
      <c r="L130" s="1">
        <v>0.05</v>
      </c>
      <c r="M130" s="1">
        <v>4000</v>
      </c>
      <c r="N130" s="1">
        <v>3800</v>
      </c>
      <c r="O130" s="1">
        <v>2320</v>
      </c>
      <c r="P130" s="1">
        <v>1480</v>
      </c>
      <c r="Q130" s="1" t="s">
        <v>27</v>
      </c>
      <c r="R130" s="1" t="s">
        <v>38</v>
      </c>
      <c r="S130" s="1" t="s">
        <v>63</v>
      </c>
    </row>
    <row r="131" spans="1:19" x14ac:dyDescent="0.3">
      <c r="A131" s="1" t="s">
        <v>230</v>
      </c>
      <c r="B131" s="2">
        <v>46277</v>
      </c>
      <c r="C131" s="1" t="s">
        <v>40</v>
      </c>
      <c r="D131" s="1" t="s">
        <v>41</v>
      </c>
      <c r="E131" s="1" t="s">
        <v>33</v>
      </c>
      <c r="F131" s="1" t="s">
        <v>116</v>
      </c>
      <c r="G131" s="1" t="s">
        <v>117</v>
      </c>
      <c r="H131" s="1" t="s">
        <v>118</v>
      </c>
      <c r="I131" s="1">
        <v>143</v>
      </c>
      <c r="J131" s="1" t="s">
        <v>37</v>
      </c>
      <c r="K131" s="1">
        <v>20</v>
      </c>
      <c r="L131" s="1">
        <v>0.02</v>
      </c>
      <c r="M131" s="1">
        <v>2860</v>
      </c>
      <c r="N131" s="1">
        <v>2802.8</v>
      </c>
      <c r="O131" s="1">
        <v>1644.5</v>
      </c>
      <c r="P131" s="1">
        <v>1158.3</v>
      </c>
      <c r="Q131" s="1" t="s">
        <v>54</v>
      </c>
      <c r="R131" s="1" t="s">
        <v>67</v>
      </c>
      <c r="S131" s="1" t="s">
        <v>68</v>
      </c>
    </row>
    <row r="132" spans="1:19" x14ac:dyDescent="0.3">
      <c r="A132" s="1" t="s">
        <v>231</v>
      </c>
      <c r="B132" s="2">
        <v>46272</v>
      </c>
      <c r="C132" s="1" t="s">
        <v>65</v>
      </c>
      <c r="D132" s="1" t="s">
        <v>66</v>
      </c>
      <c r="E132" s="1" t="s">
        <v>49</v>
      </c>
      <c r="F132" s="1" t="s">
        <v>78</v>
      </c>
      <c r="G132" s="1" t="s">
        <v>79</v>
      </c>
      <c r="H132" s="1" t="s">
        <v>80</v>
      </c>
      <c r="I132" s="1">
        <v>90</v>
      </c>
      <c r="J132" s="1" t="s">
        <v>53</v>
      </c>
      <c r="K132" s="1">
        <v>25</v>
      </c>
      <c r="L132" s="1">
        <v>0.03</v>
      </c>
      <c r="M132" s="1">
        <v>2250</v>
      </c>
      <c r="N132" s="1">
        <v>2182.5</v>
      </c>
      <c r="O132" s="1">
        <v>1278</v>
      </c>
      <c r="P132" s="1">
        <v>904.5</v>
      </c>
      <c r="Q132" s="1" t="s">
        <v>27</v>
      </c>
      <c r="R132" s="1" t="s">
        <v>38</v>
      </c>
      <c r="S132" s="1" t="s">
        <v>29</v>
      </c>
    </row>
    <row r="133" spans="1:19" x14ac:dyDescent="0.3">
      <c r="A133" s="1" t="s">
        <v>232</v>
      </c>
      <c r="B133" s="2">
        <v>46293</v>
      </c>
      <c r="C133" s="1" t="s">
        <v>88</v>
      </c>
      <c r="D133" s="1" t="s">
        <v>89</v>
      </c>
      <c r="E133" s="1" t="s">
        <v>62</v>
      </c>
      <c r="F133" s="1" t="s">
        <v>42</v>
      </c>
      <c r="G133" s="1" t="s">
        <v>43</v>
      </c>
      <c r="H133" s="1" t="s">
        <v>44</v>
      </c>
      <c r="I133" s="1">
        <v>141</v>
      </c>
      <c r="J133" s="1" t="s">
        <v>37</v>
      </c>
      <c r="K133" s="1">
        <v>20</v>
      </c>
      <c r="L133" s="1">
        <v>0.03</v>
      </c>
      <c r="M133" s="1">
        <v>2820</v>
      </c>
      <c r="N133" s="1">
        <v>2735.4</v>
      </c>
      <c r="O133" s="1">
        <v>1551</v>
      </c>
      <c r="P133" s="1">
        <v>1184.4000000000001</v>
      </c>
      <c r="Q133" s="1" t="s">
        <v>45</v>
      </c>
      <c r="R133" s="1" t="s">
        <v>38</v>
      </c>
      <c r="S133" s="1" t="s">
        <v>63</v>
      </c>
    </row>
    <row r="134" spans="1:19" x14ac:dyDescent="0.3">
      <c r="A134" s="1" t="s">
        <v>233</v>
      </c>
      <c r="B134" s="2">
        <v>46287</v>
      </c>
      <c r="C134" s="1" t="s">
        <v>88</v>
      </c>
      <c r="D134" s="1" t="s">
        <v>89</v>
      </c>
      <c r="E134" s="1" t="s">
        <v>62</v>
      </c>
      <c r="F134" s="1" t="s">
        <v>50</v>
      </c>
      <c r="G134" s="1" t="s">
        <v>51</v>
      </c>
      <c r="H134" s="1" t="s">
        <v>52</v>
      </c>
      <c r="I134" s="1">
        <v>15</v>
      </c>
      <c r="J134" s="1" t="s">
        <v>37</v>
      </c>
      <c r="K134" s="1">
        <v>20</v>
      </c>
      <c r="L134" s="1">
        <v>0</v>
      </c>
      <c r="M134" s="1">
        <v>300</v>
      </c>
      <c r="N134" s="1">
        <v>300</v>
      </c>
      <c r="O134" s="1">
        <v>165</v>
      </c>
      <c r="P134" s="1">
        <v>135</v>
      </c>
      <c r="Q134" s="1" t="s">
        <v>45</v>
      </c>
      <c r="R134" s="1" t="s">
        <v>38</v>
      </c>
      <c r="S134" s="1" t="s">
        <v>63</v>
      </c>
    </row>
    <row r="135" spans="1:19" x14ac:dyDescent="0.3">
      <c r="A135" s="1" t="s">
        <v>234</v>
      </c>
      <c r="B135" s="2">
        <v>46266</v>
      </c>
      <c r="C135" s="1" t="s">
        <v>60</v>
      </c>
      <c r="D135" s="1" t="s">
        <v>61</v>
      </c>
      <c r="E135" s="1" t="s">
        <v>62</v>
      </c>
      <c r="F135" s="1" t="s">
        <v>50</v>
      </c>
      <c r="G135" s="1" t="s">
        <v>51</v>
      </c>
      <c r="H135" s="1" t="s">
        <v>52</v>
      </c>
      <c r="I135" s="1">
        <v>118</v>
      </c>
      <c r="J135" s="1" t="s">
        <v>37</v>
      </c>
      <c r="K135" s="1">
        <v>40</v>
      </c>
      <c r="L135" s="1">
        <v>0.05</v>
      </c>
      <c r="M135" s="1">
        <v>4720</v>
      </c>
      <c r="N135" s="1">
        <v>4484</v>
      </c>
      <c r="O135" s="1">
        <v>2714</v>
      </c>
      <c r="P135" s="1">
        <v>1770</v>
      </c>
      <c r="Q135" s="1" t="s">
        <v>73</v>
      </c>
      <c r="R135" s="1" t="s">
        <v>38</v>
      </c>
      <c r="S135" s="1" t="s">
        <v>68</v>
      </c>
    </row>
    <row r="136" spans="1:19" x14ac:dyDescent="0.3">
      <c r="A136" s="1" t="s">
        <v>235</v>
      </c>
      <c r="B136" s="2">
        <v>46294</v>
      </c>
      <c r="C136" s="1" t="s">
        <v>82</v>
      </c>
      <c r="D136" s="1" t="s">
        <v>83</v>
      </c>
      <c r="E136" s="1" t="s">
        <v>33</v>
      </c>
      <c r="F136" s="1" t="s">
        <v>127</v>
      </c>
      <c r="G136" s="1" t="s">
        <v>128</v>
      </c>
      <c r="H136" s="1" t="s">
        <v>129</v>
      </c>
      <c r="I136" s="1">
        <v>119</v>
      </c>
      <c r="J136" s="1" t="s">
        <v>37</v>
      </c>
      <c r="K136" s="1">
        <v>35</v>
      </c>
      <c r="L136" s="1">
        <v>0.02</v>
      </c>
      <c r="M136" s="1">
        <v>4165</v>
      </c>
      <c r="N136" s="1">
        <v>4081.7</v>
      </c>
      <c r="O136" s="1">
        <v>2380</v>
      </c>
      <c r="P136" s="1">
        <v>1701.7</v>
      </c>
      <c r="Q136" s="1" t="s">
        <v>45</v>
      </c>
      <c r="R136" s="1" t="s">
        <v>38</v>
      </c>
      <c r="S136" s="1" t="s">
        <v>29</v>
      </c>
    </row>
    <row r="137" spans="1:19" x14ac:dyDescent="0.3">
      <c r="A137" s="1" t="s">
        <v>236</v>
      </c>
      <c r="B137" s="2">
        <v>46281</v>
      </c>
      <c r="C137" s="1" t="s">
        <v>106</v>
      </c>
      <c r="D137" s="1" t="s">
        <v>107</v>
      </c>
      <c r="E137" s="1" t="s">
        <v>108</v>
      </c>
      <c r="F137" s="1" t="s">
        <v>34</v>
      </c>
      <c r="G137" s="1" t="s">
        <v>35</v>
      </c>
      <c r="H137" s="1" t="s">
        <v>36</v>
      </c>
      <c r="I137" s="1">
        <v>32</v>
      </c>
      <c r="J137" s="1" t="s">
        <v>37</v>
      </c>
      <c r="K137" s="1">
        <v>15</v>
      </c>
      <c r="L137" s="1">
        <v>0</v>
      </c>
      <c r="M137" s="1">
        <v>480</v>
      </c>
      <c r="N137" s="1">
        <v>480</v>
      </c>
      <c r="O137" s="1">
        <v>272</v>
      </c>
      <c r="P137" s="1">
        <v>208</v>
      </c>
      <c r="Q137" s="1" t="s">
        <v>54</v>
      </c>
      <c r="R137" s="1" t="s">
        <v>67</v>
      </c>
      <c r="S137" s="1" t="s">
        <v>63</v>
      </c>
    </row>
    <row r="138" spans="1:19" x14ac:dyDescent="0.3">
      <c r="A138" s="1" t="s">
        <v>237</v>
      </c>
      <c r="B138" s="2">
        <v>46280</v>
      </c>
      <c r="C138" s="1" t="s">
        <v>47</v>
      </c>
      <c r="D138" s="1" t="s">
        <v>48</v>
      </c>
      <c r="E138" s="1" t="s">
        <v>49</v>
      </c>
      <c r="F138" s="1" t="s">
        <v>97</v>
      </c>
      <c r="G138" s="1" t="s">
        <v>98</v>
      </c>
      <c r="H138" s="1" t="s">
        <v>94</v>
      </c>
      <c r="I138" s="1">
        <v>95</v>
      </c>
      <c r="J138" s="1" t="s">
        <v>53</v>
      </c>
      <c r="K138" s="1">
        <v>25</v>
      </c>
      <c r="L138" s="1">
        <v>0.03</v>
      </c>
      <c r="M138" s="1">
        <v>2375</v>
      </c>
      <c r="N138" s="1">
        <v>2303.75</v>
      </c>
      <c r="O138" s="1">
        <v>1330</v>
      </c>
      <c r="P138" s="1">
        <v>973.75</v>
      </c>
      <c r="Q138" s="1" t="s">
        <v>45</v>
      </c>
      <c r="R138" s="1" t="s">
        <v>67</v>
      </c>
      <c r="S138" s="1" t="s">
        <v>63</v>
      </c>
    </row>
    <row r="139" spans="1:19" x14ac:dyDescent="0.3">
      <c r="A139" s="1" t="s">
        <v>238</v>
      </c>
      <c r="B139" s="2">
        <v>46271</v>
      </c>
      <c r="C139" s="1" t="s">
        <v>60</v>
      </c>
      <c r="D139" s="1" t="s">
        <v>61</v>
      </c>
      <c r="E139" s="1" t="s">
        <v>62</v>
      </c>
      <c r="F139" s="1" t="s">
        <v>97</v>
      </c>
      <c r="G139" s="1" t="s">
        <v>98</v>
      </c>
      <c r="H139" s="1" t="s">
        <v>94</v>
      </c>
      <c r="I139" s="1">
        <v>149</v>
      </c>
      <c r="J139" s="1" t="s">
        <v>37</v>
      </c>
      <c r="K139" s="1">
        <v>40</v>
      </c>
      <c r="L139" s="1">
        <v>0.02</v>
      </c>
      <c r="M139" s="1">
        <v>5960</v>
      </c>
      <c r="N139" s="1">
        <v>5840.8</v>
      </c>
      <c r="O139" s="1">
        <v>3427</v>
      </c>
      <c r="P139" s="1">
        <v>2413.8000000000002</v>
      </c>
      <c r="Q139" s="1" t="s">
        <v>54</v>
      </c>
      <c r="R139" s="1" t="s">
        <v>38</v>
      </c>
      <c r="S139" s="1" t="s">
        <v>29</v>
      </c>
    </row>
    <row r="140" spans="1:19" x14ac:dyDescent="0.3">
      <c r="A140" s="1" t="s">
        <v>239</v>
      </c>
      <c r="B140" s="2">
        <v>46293</v>
      </c>
      <c r="C140" s="1" t="s">
        <v>31</v>
      </c>
      <c r="D140" s="1" t="s">
        <v>32</v>
      </c>
      <c r="E140" s="1" t="s">
        <v>33</v>
      </c>
      <c r="F140" s="1" t="s">
        <v>127</v>
      </c>
      <c r="G140" s="1" t="s">
        <v>128</v>
      </c>
      <c r="H140" s="1" t="s">
        <v>129</v>
      </c>
      <c r="I140" s="1">
        <v>127</v>
      </c>
      <c r="J140" s="1" t="s">
        <v>37</v>
      </c>
      <c r="K140" s="1">
        <v>50</v>
      </c>
      <c r="L140" s="1">
        <v>0.05</v>
      </c>
      <c r="M140" s="1">
        <v>6350</v>
      </c>
      <c r="N140" s="1">
        <v>6032.5</v>
      </c>
      <c r="O140" s="1">
        <v>3683</v>
      </c>
      <c r="P140" s="1">
        <v>2349.5</v>
      </c>
      <c r="Q140" s="1" t="s">
        <v>45</v>
      </c>
      <c r="R140" s="1" t="s">
        <v>38</v>
      </c>
      <c r="S140" s="1" t="s">
        <v>63</v>
      </c>
    </row>
    <row r="141" spans="1:19" x14ac:dyDescent="0.3">
      <c r="A141" s="1" t="s">
        <v>240</v>
      </c>
      <c r="B141" s="2">
        <v>46278</v>
      </c>
      <c r="C141" s="1" t="s">
        <v>40</v>
      </c>
      <c r="D141" s="1" t="s">
        <v>41</v>
      </c>
      <c r="E141" s="1" t="s">
        <v>33</v>
      </c>
      <c r="F141" s="1" t="s">
        <v>56</v>
      </c>
      <c r="G141" s="1" t="s">
        <v>57</v>
      </c>
      <c r="H141" s="1" t="s">
        <v>58</v>
      </c>
      <c r="I141" s="1">
        <v>214</v>
      </c>
      <c r="J141" s="1" t="s">
        <v>37</v>
      </c>
      <c r="K141" s="1">
        <v>20</v>
      </c>
      <c r="L141" s="1">
        <v>0</v>
      </c>
      <c r="M141" s="1">
        <v>4280</v>
      </c>
      <c r="N141" s="1">
        <v>4280</v>
      </c>
      <c r="O141" s="1">
        <v>2461</v>
      </c>
      <c r="P141" s="1">
        <v>1819</v>
      </c>
      <c r="Q141" s="1" t="s">
        <v>45</v>
      </c>
      <c r="R141" s="1" t="s">
        <v>67</v>
      </c>
      <c r="S141" s="1" t="s">
        <v>68</v>
      </c>
    </row>
    <row r="142" spans="1:19" x14ac:dyDescent="0.3">
      <c r="A142" s="1" t="s">
        <v>241</v>
      </c>
      <c r="B142" s="2">
        <v>46268</v>
      </c>
      <c r="C142" s="1" t="s">
        <v>47</v>
      </c>
      <c r="D142" s="1" t="s">
        <v>48</v>
      </c>
      <c r="E142" s="1" t="s">
        <v>49</v>
      </c>
      <c r="F142" s="1" t="s">
        <v>142</v>
      </c>
      <c r="G142" s="1" t="s">
        <v>143</v>
      </c>
      <c r="H142" s="1" t="s">
        <v>144</v>
      </c>
      <c r="I142" s="1">
        <v>97</v>
      </c>
      <c r="J142" s="1" t="s">
        <v>53</v>
      </c>
      <c r="K142" s="1">
        <v>25</v>
      </c>
      <c r="L142" s="1">
        <v>0.03</v>
      </c>
      <c r="M142" s="1">
        <v>2425</v>
      </c>
      <c r="N142" s="1">
        <v>2352.25</v>
      </c>
      <c r="O142" s="1">
        <v>1358</v>
      </c>
      <c r="P142" s="1">
        <v>994.25</v>
      </c>
      <c r="Q142" s="1" t="s">
        <v>45</v>
      </c>
      <c r="R142" s="1" t="s">
        <v>38</v>
      </c>
      <c r="S142" s="1" t="s">
        <v>68</v>
      </c>
    </row>
    <row r="143" spans="1:19" x14ac:dyDescent="0.3">
      <c r="A143" s="1" t="s">
        <v>242</v>
      </c>
      <c r="B143" s="2">
        <v>46292</v>
      </c>
      <c r="C143" s="1" t="s">
        <v>82</v>
      </c>
      <c r="D143" s="1" t="s">
        <v>83</v>
      </c>
      <c r="E143" s="1" t="s">
        <v>33</v>
      </c>
      <c r="F143" s="1" t="s">
        <v>127</v>
      </c>
      <c r="G143" s="1" t="s">
        <v>128</v>
      </c>
      <c r="H143" s="1" t="s">
        <v>129</v>
      </c>
      <c r="I143" s="1">
        <v>66</v>
      </c>
      <c r="J143" s="1" t="s">
        <v>37</v>
      </c>
      <c r="K143" s="1">
        <v>35</v>
      </c>
      <c r="L143" s="1">
        <v>0</v>
      </c>
      <c r="M143" s="1">
        <v>2310</v>
      </c>
      <c r="N143" s="1">
        <v>2310</v>
      </c>
      <c r="O143" s="1">
        <v>1320</v>
      </c>
      <c r="P143" s="1">
        <v>990</v>
      </c>
      <c r="Q143" s="1" t="s">
        <v>54</v>
      </c>
      <c r="R143" s="1" t="s">
        <v>67</v>
      </c>
      <c r="S143" s="1" t="s">
        <v>29</v>
      </c>
    </row>
    <row r="144" spans="1:19" x14ac:dyDescent="0.3">
      <c r="A144" s="1" t="s">
        <v>243</v>
      </c>
      <c r="B144" s="2">
        <v>46288</v>
      </c>
      <c r="C144" s="1" t="s">
        <v>88</v>
      </c>
      <c r="D144" s="1" t="s">
        <v>89</v>
      </c>
      <c r="E144" s="1" t="s">
        <v>62</v>
      </c>
      <c r="F144" s="1" t="s">
        <v>70</v>
      </c>
      <c r="G144" s="1" t="s">
        <v>71</v>
      </c>
      <c r="H144" s="1" t="s">
        <v>72</v>
      </c>
      <c r="I144" s="1">
        <v>217</v>
      </c>
      <c r="J144" s="1" t="s">
        <v>37</v>
      </c>
      <c r="K144" s="1">
        <v>20</v>
      </c>
      <c r="L144" s="1">
        <v>0.05</v>
      </c>
      <c r="M144" s="1">
        <v>4340</v>
      </c>
      <c r="N144" s="1">
        <v>4123</v>
      </c>
      <c r="O144" s="1">
        <v>2387</v>
      </c>
      <c r="P144" s="1">
        <v>1736</v>
      </c>
      <c r="Q144" s="1" t="s">
        <v>27</v>
      </c>
      <c r="R144" s="1" t="s">
        <v>38</v>
      </c>
      <c r="S144" s="1" t="s">
        <v>68</v>
      </c>
    </row>
    <row r="145" spans="1:19" x14ac:dyDescent="0.3">
      <c r="A145" s="1" t="s">
        <v>244</v>
      </c>
      <c r="B145" s="2">
        <v>46291</v>
      </c>
      <c r="C145" s="1" t="s">
        <v>106</v>
      </c>
      <c r="D145" s="1" t="s">
        <v>107</v>
      </c>
      <c r="E145" s="1" t="s">
        <v>108</v>
      </c>
      <c r="F145" s="1" t="s">
        <v>50</v>
      </c>
      <c r="G145" s="1" t="s">
        <v>51</v>
      </c>
      <c r="H145" s="1" t="s">
        <v>52</v>
      </c>
      <c r="I145" s="1">
        <v>83</v>
      </c>
      <c r="J145" s="1" t="s">
        <v>37</v>
      </c>
      <c r="K145" s="1">
        <v>15</v>
      </c>
      <c r="L145" s="1">
        <v>0.03</v>
      </c>
      <c r="M145" s="1">
        <v>1245</v>
      </c>
      <c r="N145" s="1">
        <v>1207.6500000000001</v>
      </c>
      <c r="O145" s="1">
        <v>705.5</v>
      </c>
      <c r="P145" s="1">
        <v>502.15</v>
      </c>
      <c r="Q145" s="1" t="s">
        <v>54</v>
      </c>
      <c r="R145" s="1" t="s">
        <v>38</v>
      </c>
      <c r="S145" s="1" t="s">
        <v>68</v>
      </c>
    </row>
    <row r="146" spans="1:19" x14ac:dyDescent="0.3">
      <c r="A146" s="1" t="s">
        <v>245</v>
      </c>
      <c r="B146" s="2">
        <v>46270</v>
      </c>
      <c r="C146" s="1" t="s">
        <v>88</v>
      </c>
      <c r="D146" s="1" t="s">
        <v>89</v>
      </c>
      <c r="E146" s="1" t="s">
        <v>62</v>
      </c>
      <c r="F146" s="1" t="s">
        <v>50</v>
      </c>
      <c r="G146" s="1" t="s">
        <v>51</v>
      </c>
      <c r="H146" s="1" t="s">
        <v>52</v>
      </c>
      <c r="I146" s="1">
        <v>173</v>
      </c>
      <c r="J146" s="1" t="s">
        <v>37</v>
      </c>
      <c r="K146" s="1">
        <v>20</v>
      </c>
      <c r="L146" s="1">
        <v>0.05</v>
      </c>
      <c r="M146" s="1">
        <v>3460</v>
      </c>
      <c r="N146" s="1">
        <v>3287</v>
      </c>
      <c r="O146" s="1">
        <v>1903</v>
      </c>
      <c r="P146" s="1">
        <v>1384</v>
      </c>
      <c r="Q146" s="1" t="s">
        <v>73</v>
      </c>
      <c r="R146" s="1" t="s">
        <v>38</v>
      </c>
      <c r="S146" s="1" t="s">
        <v>63</v>
      </c>
    </row>
    <row r="147" spans="1:19" x14ac:dyDescent="0.3">
      <c r="A147" s="1" t="s">
        <v>246</v>
      </c>
      <c r="B147" s="2">
        <v>46287</v>
      </c>
      <c r="C147" s="1" t="s">
        <v>88</v>
      </c>
      <c r="D147" s="1" t="s">
        <v>89</v>
      </c>
      <c r="E147" s="1" t="s">
        <v>62</v>
      </c>
      <c r="F147" s="1" t="s">
        <v>101</v>
      </c>
      <c r="G147" s="1" t="s">
        <v>102</v>
      </c>
      <c r="H147" s="1" t="s">
        <v>103</v>
      </c>
      <c r="I147" s="1">
        <v>156</v>
      </c>
      <c r="J147" s="1" t="s">
        <v>37</v>
      </c>
      <c r="K147" s="1">
        <v>20</v>
      </c>
      <c r="L147" s="1">
        <v>0.02</v>
      </c>
      <c r="M147" s="1">
        <v>3120</v>
      </c>
      <c r="N147" s="1">
        <v>3057.6</v>
      </c>
      <c r="O147" s="1">
        <v>1716</v>
      </c>
      <c r="P147" s="1">
        <v>1341.6</v>
      </c>
      <c r="Q147" s="1" t="s">
        <v>27</v>
      </c>
      <c r="R147" s="1" t="s">
        <v>67</v>
      </c>
      <c r="S147" s="1" t="s">
        <v>68</v>
      </c>
    </row>
    <row r="148" spans="1:19" x14ac:dyDescent="0.3">
      <c r="A148" s="1" t="s">
        <v>247</v>
      </c>
      <c r="B148" s="2">
        <v>46279</v>
      </c>
      <c r="C148" s="1" t="s">
        <v>20</v>
      </c>
      <c r="D148" s="1" t="s">
        <v>21</v>
      </c>
      <c r="E148" s="1" t="s">
        <v>22</v>
      </c>
      <c r="F148" s="1" t="s">
        <v>84</v>
      </c>
      <c r="G148" s="1" t="s">
        <v>85</v>
      </c>
      <c r="H148" s="1" t="s">
        <v>86</v>
      </c>
      <c r="I148" s="1">
        <v>146</v>
      </c>
      <c r="J148" s="1" t="s">
        <v>26</v>
      </c>
      <c r="K148" s="1">
        <v>85</v>
      </c>
      <c r="L148" s="1">
        <v>0.02</v>
      </c>
      <c r="M148" s="1">
        <v>12410</v>
      </c>
      <c r="N148" s="1">
        <v>12161.8</v>
      </c>
      <c r="O148" s="1">
        <v>7446</v>
      </c>
      <c r="P148" s="1">
        <v>4715.8</v>
      </c>
      <c r="Q148" s="1" t="s">
        <v>27</v>
      </c>
      <c r="R148" s="1" t="s">
        <v>38</v>
      </c>
      <c r="S148" s="1" t="s">
        <v>68</v>
      </c>
    </row>
    <row r="149" spans="1:19" x14ac:dyDescent="0.3">
      <c r="A149" s="1" t="s">
        <v>248</v>
      </c>
      <c r="B149" s="2">
        <v>46286</v>
      </c>
      <c r="C149" s="1" t="s">
        <v>20</v>
      </c>
      <c r="D149" s="1" t="s">
        <v>21</v>
      </c>
      <c r="E149" s="1" t="s">
        <v>22</v>
      </c>
      <c r="F149" s="1" t="s">
        <v>92</v>
      </c>
      <c r="G149" s="1" t="s">
        <v>93</v>
      </c>
      <c r="H149" s="1" t="s">
        <v>94</v>
      </c>
      <c r="I149" s="1">
        <v>54</v>
      </c>
      <c r="J149" s="1" t="s">
        <v>26</v>
      </c>
      <c r="K149" s="1">
        <v>85</v>
      </c>
      <c r="L149" s="1">
        <v>0</v>
      </c>
      <c r="M149" s="1">
        <v>4590</v>
      </c>
      <c r="N149" s="1">
        <v>4590</v>
      </c>
      <c r="O149" s="1">
        <v>2754</v>
      </c>
      <c r="P149" s="1">
        <v>1836</v>
      </c>
      <c r="Q149" s="1" t="s">
        <v>73</v>
      </c>
      <c r="R149" s="1" t="s">
        <v>38</v>
      </c>
      <c r="S149" s="1" t="s">
        <v>68</v>
      </c>
    </row>
    <row r="150" spans="1:19" x14ac:dyDescent="0.3">
      <c r="A150" s="1" t="s">
        <v>249</v>
      </c>
      <c r="B150" s="2">
        <v>46276</v>
      </c>
      <c r="C150" s="1" t="s">
        <v>65</v>
      </c>
      <c r="D150" s="1" t="s">
        <v>66</v>
      </c>
      <c r="E150" s="1" t="s">
        <v>49</v>
      </c>
      <c r="F150" s="1" t="s">
        <v>116</v>
      </c>
      <c r="G150" s="1" t="s">
        <v>117</v>
      </c>
      <c r="H150" s="1" t="s">
        <v>118</v>
      </c>
      <c r="I150" s="1">
        <v>161</v>
      </c>
      <c r="J150" s="1" t="s">
        <v>53</v>
      </c>
      <c r="K150" s="1">
        <v>25</v>
      </c>
      <c r="L150" s="1">
        <v>0.05</v>
      </c>
      <c r="M150" s="1">
        <v>4025</v>
      </c>
      <c r="N150" s="1">
        <v>3823.75</v>
      </c>
      <c r="O150" s="1">
        <v>2286.1999999999998</v>
      </c>
      <c r="P150" s="1">
        <v>1537.55</v>
      </c>
      <c r="Q150" s="1" t="s">
        <v>45</v>
      </c>
      <c r="R150" s="1" t="s">
        <v>38</v>
      </c>
      <c r="S150" s="1" t="s">
        <v>29</v>
      </c>
    </row>
    <row r="151" spans="1:19" x14ac:dyDescent="0.3">
      <c r="A151" s="1" t="s">
        <v>250</v>
      </c>
      <c r="B151" s="2">
        <v>46278</v>
      </c>
      <c r="C151" s="1" t="s">
        <v>31</v>
      </c>
      <c r="D151" s="1" t="s">
        <v>32</v>
      </c>
      <c r="E151" s="1" t="s">
        <v>33</v>
      </c>
      <c r="F151" s="1" t="s">
        <v>84</v>
      </c>
      <c r="G151" s="1" t="s">
        <v>85</v>
      </c>
      <c r="H151" s="1" t="s">
        <v>86</v>
      </c>
      <c r="I151" s="1">
        <v>152</v>
      </c>
      <c r="J151" s="1" t="s">
        <v>37</v>
      </c>
      <c r="K151" s="1">
        <v>50</v>
      </c>
      <c r="L151" s="1">
        <v>0</v>
      </c>
      <c r="M151" s="1">
        <v>7600</v>
      </c>
      <c r="N151" s="1">
        <v>7600</v>
      </c>
      <c r="O151" s="1">
        <v>4408</v>
      </c>
      <c r="P151" s="1">
        <v>3192</v>
      </c>
      <c r="Q151" s="1" t="s">
        <v>27</v>
      </c>
      <c r="R151" s="1" t="s">
        <v>38</v>
      </c>
      <c r="S151" s="1" t="s">
        <v>63</v>
      </c>
    </row>
    <row r="152" spans="1:19" x14ac:dyDescent="0.3">
      <c r="A152" s="1" t="s">
        <v>251</v>
      </c>
      <c r="B152" s="2">
        <v>46288</v>
      </c>
      <c r="C152" s="1" t="s">
        <v>60</v>
      </c>
      <c r="D152" s="1" t="s">
        <v>61</v>
      </c>
      <c r="E152" s="1" t="s">
        <v>62</v>
      </c>
      <c r="F152" s="1" t="s">
        <v>50</v>
      </c>
      <c r="G152" s="1" t="s">
        <v>51</v>
      </c>
      <c r="H152" s="1" t="s">
        <v>52</v>
      </c>
      <c r="I152" s="1">
        <v>69</v>
      </c>
      <c r="J152" s="1" t="s">
        <v>37</v>
      </c>
      <c r="K152" s="1">
        <v>40</v>
      </c>
      <c r="L152" s="1">
        <v>0</v>
      </c>
      <c r="M152" s="1">
        <v>2760</v>
      </c>
      <c r="N152" s="1">
        <v>2760</v>
      </c>
      <c r="O152" s="1">
        <v>1587</v>
      </c>
      <c r="P152" s="1">
        <v>1173</v>
      </c>
      <c r="Q152" s="1" t="s">
        <v>54</v>
      </c>
      <c r="R152" s="1" t="s">
        <v>38</v>
      </c>
      <c r="S152" s="1" t="s">
        <v>63</v>
      </c>
    </row>
    <row r="153" spans="1:19" x14ac:dyDescent="0.3">
      <c r="A153" s="1" t="s">
        <v>252</v>
      </c>
      <c r="B153" s="2">
        <v>46290</v>
      </c>
      <c r="C153" s="1" t="s">
        <v>106</v>
      </c>
      <c r="D153" s="1" t="s">
        <v>107</v>
      </c>
      <c r="E153" s="1" t="s">
        <v>108</v>
      </c>
      <c r="F153" s="1" t="s">
        <v>127</v>
      </c>
      <c r="G153" s="1" t="s">
        <v>128</v>
      </c>
      <c r="H153" s="1" t="s">
        <v>129</v>
      </c>
      <c r="I153" s="1">
        <v>188</v>
      </c>
      <c r="J153" s="1" t="s">
        <v>37</v>
      </c>
      <c r="K153" s="1">
        <v>15</v>
      </c>
      <c r="L153" s="1">
        <v>0.03</v>
      </c>
      <c r="M153" s="1">
        <v>2820</v>
      </c>
      <c r="N153" s="1">
        <v>2735.4</v>
      </c>
      <c r="O153" s="1">
        <v>1598</v>
      </c>
      <c r="P153" s="1">
        <v>1137.4000000000001</v>
      </c>
      <c r="Q153" s="1" t="s">
        <v>45</v>
      </c>
      <c r="R153" s="1" t="s">
        <v>38</v>
      </c>
      <c r="S153" s="1" t="s">
        <v>68</v>
      </c>
    </row>
    <row r="154" spans="1:19" x14ac:dyDescent="0.3">
      <c r="A154" s="1" t="s">
        <v>253</v>
      </c>
      <c r="B154" s="2">
        <v>46291</v>
      </c>
      <c r="C154" s="1" t="s">
        <v>65</v>
      </c>
      <c r="D154" s="1" t="s">
        <v>66</v>
      </c>
      <c r="E154" s="1" t="s">
        <v>49</v>
      </c>
      <c r="F154" s="1" t="s">
        <v>56</v>
      </c>
      <c r="G154" s="1" t="s">
        <v>57</v>
      </c>
      <c r="H154" s="1" t="s">
        <v>58</v>
      </c>
      <c r="I154" s="1">
        <v>86</v>
      </c>
      <c r="J154" s="1" t="s">
        <v>53</v>
      </c>
      <c r="K154" s="1">
        <v>25</v>
      </c>
      <c r="L154" s="1">
        <v>0</v>
      </c>
      <c r="M154" s="1">
        <v>2150</v>
      </c>
      <c r="N154" s="1">
        <v>2150</v>
      </c>
      <c r="O154" s="1">
        <v>1221.2</v>
      </c>
      <c r="P154" s="1">
        <v>928.8</v>
      </c>
      <c r="Q154" s="1" t="s">
        <v>27</v>
      </c>
      <c r="R154" s="1" t="s">
        <v>67</v>
      </c>
      <c r="S154" s="1" t="s">
        <v>63</v>
      </c>
    </row>
    <row r="155" spans="1:19" x14ac:dyDescent="0.3">
      <c r="A155" s="1" t="s">
        <v>254</v>
      </c>
      <c r="B155" s="2">
        <v>46266</v>
      </c>
      <c r="C155" s="1" t="s">
        <v>88</v>
      </c>
      <c r="D155" s="1" t="s">
        <v>89</v>
      </c>
      <c r="E155" s="1" t="s">
        <v>62</v>
      </c>
      <c r="F155" s="1" t="s">
        <v>142</v>
      </c>
      <c r="G155" s="1" t="s">
        <v>143</v>
      </c>
      <c r="H155" s="1" t="s">
        <v>144</v>
      </c>
      <c r="I155" s="1">
        <v>148</v>
      </c>
      <c r="J155" s="1" t="s">
        <v>37</v>
      </c>
      <c r="K155" s="1">
        <v>20</v>
      </c>
      <c r="L155" s="1">
        <v>0</v>
      </c>
      <c r="M155" s="1">
        <v>2960</v>
      </c>
      <c r="N155" s="1">
        <v>2960</v>
      </c>
      <c r="O155" s="1">
        <v>1628</v>
      </c>
      <c r="P155" s="1">
        <v>1332</v>
      </c>
      <c r="Q155" s="1" t="s">
        <v>45</v>
      </c>
      <c r="R155" s="1" t="s">
        <v>28</v>
      </c>
      <c r="S155" s="1" t="s">
        <v>68</v>
      </c>
    </row>
    <row r="156" spans="1:19" x14ac:dyDescent="0.3">
      <c r="A156" s="1" t="s">
        <v>255</v>
      </c>
      <c r="B156" s="2">
        <v>46285</v>
      </c>
      <c r="C156" s="1" t="s">
        <v>88</v>
      </c>
      <c r="D156" s="1" t="s">
        <v>89</v>
      </c>
      <c r="E156" s="1" t="s">
        <v>62</v>
      </c>
      <c r="F156" s="1" t="s">
        <v>50</v>
      </c>
      <c r="G156" s="1" t="s">
        <v>51</v>
      </c>
      <c r="H156" s="1" t="s">
        <v>52</v>
      </c>
      <c r="I156" s="1">
        <v>38</v>
      </c>
      <c r="J156" s="1" t="s">
        <v>37</v>
      </c>
      <c r="K156" s="1">
        <v>20</v>
      </c>
      <c r="L156" s="1">
        <v>0.02</v>
      </c>
      <c r="M156" s="1">
        <v>760</v>
      </c>
      <c r="N156" s="1">
        <v>744.8</v>
      </c>
      <c r="O156" s="1">
        <v>418</v>
      </c>
      <c r="P156" s="1">
        <v>326.8</v>
      </c>
      <c r="Q156" s="1" t="s">
        <v>54</v>
      </c>
      <c r="R156" s="1" t="s">
        <v>28</v>
      </c>
      <c r="S156" s="1" t="s">
        <v>68</v>
      </c>
    </row>
    <row r="157" spans="1:19" x14ac:dyDescent="0.3">
      <c r="A157" s="1" t="s">
        <v>256</v>
      </c>
      <c r="B157" s="2">
        <v>46281</v>
      </c>
      <c r="C157" s="1" t="s">
        <v>65</v>
      </c>
      <c r="D157" s="1" t="s">
        <v>66</v>
      </c>
      <c r="E157" s="1" t="s">
        <v>49</v>
      </c>
      <c r="F157" s="1" t="s">
        <v>127</v>
      </c>
      <c r="G157" s="1" t="s">
        <v>128</v>
      </c>
      <c r="H157" s="1" t="s">
        <v>129</v>
      </c>
      <c r="I157" s="1">
        <v>53</v>
      </c>
      <c r="J157" s="1" t="s">
        <v>53</v>
      </c>
      <c r="K157" s="1">
        <v>25</v>
      </c>
      <c r="L157" s="1">
        <v>0</v>
      </c>
      <c r="M157" s="1">
        <v>1325</v>
      </c>
      <c r="N157" s="1">
        <v>1325</v>
      </c>
      <c r="O157" s="1">
        <v>752.6</v>
      </c>
      <c r="P157" s="1">
        <v>572.4</v>
      </c>
      <c r="Q157" s="1" t="s">
        <v>27</v>
      </c>
      <c r="R157" s="1" t="s">
        <v>38</v>
      </c>
      <c r="S157" s="1" t="s">
        <v>68</v>
      </c>
    </row>
    <row r="158" spans="1:19" x14ac:dyDescent="0.3">
      <c r="A158" s="1" t="s">
        <v>257</v>
      </c>
      <c r="B158" s="2">
        <v>46267</v>
      </c>
      <c r="C158" s="1" t="s">
        <v>65</v>
      </c>
      <c r="D158" s="1" t="s">
        <v>66</v>
      </c>
      <c r="E158" s="1" t="s">
        <v>49</v>
      </c>
      <c r="F158" s="1" t="s">
        <v>142</v>
      </c>
      <c r="G158" s="1" t="s">
        <v>143</v>
      </c>
      <c r="H158" s="1" t="s">
        <v>144</v>
      </c>
      <c r="I158" s="1">
        <v>59</v>
      </c>
      <c r="J158" s="1" t="s">
        <v>53</v>
      </c>
      <c r="K158" s="1">
        <v>25</v>
      </c>
      <c r="L158" s="1">
        <v>0</v>
      </c>
      <c r="M158" s="1">
        <v>1475</v>
      </c>
      <c r="N158" s="1">
        <v>1475</v>
      </c>
      <c r="O158" s="1">
        <v>837.8</v>
      </c>
      <c r="P158" s="1">
        <v>637.20000000000005</v>
      </c>
      <c r="Q158" s="1" t="s">
        <v>73</v>
      </c>
      <c r="R158" s="1" t="s">
        <v>38</v>
      </c>
      <c r="S158" s="1" t="s">
        <v>63</v>
      </c>
    </row>
    <row r="159" spans="1:19" x14ac:dyDescent="0.3">
      <c r="A159" s="1" t="s">
        <v>258</v>
      </c>
      <c r="B159" s="2">
        <v>46292</v>
      </c>
      <c r="C159" s="1" t="s">
        <v>20</v>
      </c>
      <c r="D159" s="1" t="s">
        <v>21</v>
      </c>
      <c r="E159" s="1" t="s">
        <v>22</v>
      </c>
      <c r="F159" s="1" t="s">
        <v>56</v>
      </c>
      <c r="G159" s="1" t="s">
        <v>57</v>
      </c>
      <c r="H159" s="1" t="s">
        <v>58</v>
      </c>
      <c r="I159" s="1">
        <v>195</v>
      </c>
      <c r="J159" s="1" t="s">
        <v>26</v>
      </c>
      <c r="K159" s="1">
        <v>85</v>
      </c>
      <c r="L159" s="1">
        <v>0</v>
      </c>
      <c r="M159" s="1">
        <v>16575</v>
      </c>
      <c r="N159" s="1">
        <v>16575</v>
      </c>
      <c r="O159" s="1">
        <v>9945</v>
      </c>
      <c r="P159" s="1">
        <v>6630</v>
      </c>
      <c r="Q159" s="1" t="s">
        <v>45</v>
      </c>
      <c r="R159" s="1" t="s">
        <v>67</v>
      </c>
      <c r="S159" s="1" t="s">
        <v>63</v>
      </c>
    </row>
    <row r="160" spans="1:19" x14ac:dyDescent="0.3">
      <c r="A160" s="1" t="s">
        <v>259</v>
      </c>
      <c r="B160" s="2">
        <v>46269</v>
      </c>
      <c r="C160" s="1" t="s">
        <v>76</v>
      </c>
      <c r="D160" s="1" t="s">
        <v>77</v>
      </c>
      <c r="E160" s="1" t="s">
        <v>33</v>
      </c>
      <c r="F160" s="1" t="s">
        <v>50</v>
      </c>
      <c r="G160" s="1" t="s">
        <v>51</v>
      </c>
      <c r="H160" s="1" t="s">
        <v>52</v>
      </c>
      <c r="I160" s="1">
        <v>133</v>
      </c>
      <c r="J160" s="1" t="s">
        <v>37</v>
      </c>
      <c r="K160" s="1">
        <v>20</v>
      </c>
      <c r="L160" s="1">
        <v>0</v>
      </c>
      <c r="M160" s="1">
        <v>2660</v>
      </c>
      <c r="N160" s="1">
        <v>2660</v>
      </c>
      <c r="O160" s="1">
        <v>1569.4</v>
      </c>
      <c r="P160" s="1">
        <v>1090.5999999999999</v>
      </c>
      <c r="Q160" s="1" t="s">
        <v>45</v>
      </c>
      <c r="R160" s="1" t="s">
        <v>67</v>
      </c>
      <c r="S160" s="1" t="s">
        <v>68</v>
      </c>
    </row>
    <row r="161" spans="1:19" x14ac:dyDescent="0.3">
      <c r="A161" s="1" t="s">
        <v>260</v>
      </c>
      <c r="B161" s="2">
        <v>46269</v>
      </c>
      <c r="C161" s="1" t="s">
        <v>31</v>
      </c>
      <c r="D161" s="1" t="s">
        <v>32</v>
      </c>
      <c r="E161" s="1" t="s">
        <v>33</v>
      </c>
      <c r="F161" s="1" t="s">
        <v>70</v>
      </c>
      <c r="G161" s="1" t="s">
        <v>71</v>
      </c>
      <c r="H161" s="1" t="s">
        <v>72</v>
      </c>
      <c r="I161" s="1">
        <v>116</v>
      </c>
      <c r="J161" s="1" t="s">
        <v>37</v>
      </c>
      <c r="K161" s="1">
        <v>50</v>
      </c>
      <c r="L161" s="1">
        <v>0</v>
      </c>
      <c r="M161" s="1">
        <v>5800</v>
      </c>
      <c r="N161" s="1">
        <v>5800</v>
      </c>
      <c r="O161" s="1">
        <v>3364</v>
      </c>
      <c r="P161" s="1">
        <v>2436</v>
      </c>
      <c r="Q161" s="1" t="s">
        <v>27</v>
      </c>
      <c r="R161" s="1" t="s">
        <v>67</v>
      </c>
      <c r="S161" s="1" t="s">
        <v>68</v>
      </c>
    </row>
    <row r="162" spans="1:19" x14ac:dyDescent="0.3">
      <c r="A162" s="1" t="s">
        <v>261</v>
      </c>
      <c r="B162" s="2">
        <v>46284</v>
      </c>
      <c r="C162" s="1" t="s">
        <v>88</v>
      </c>
      <c r="D162" s="1" t="s">
        <v>89</v>
      </c>
      <c r="E162" s="1" t="s">
        <v>62</v>
      </c>
      <c r="F162" s="1" t="s">
        <v>23</v>
      </c>
      <c r="G162" s="1" t="s">
        <v>24</v>
      </c>
      <c r="H162" s="1" t="s">
        <v>25</v>
      </c>
      <c r="I162" s="1">
        <v>220</v>
      </c>
      <c r="J162" s="1" t="s">
        <v>37</v>
      </c>
      <c r="K162" s="1">
        <v>20</v>
      </c>
      <c r="L162" s="1">
        <v>0.05</v>
      </c>
      <c r="M162" s="1">
        <v>4400</v>
      </c>
      <c r="N162" s="1">
        <v>4180</v>
      </c>
      <c r="O162" s="1">
        <v>2420</v>
      </c>
      <c r="P162" s="1">
        <v>1760</v>
      </c>
      <c r="Q162" s="1" t="s">
        <v>54</v>
      </c>
      <c r="R162" s="1" t="s">
        <v>38</v>
      </c>
      <c r="S162" s="1" t="s">
        <v>68</v>
      </c>
    </row>
    <row r="163" spans="1:19" x14ac:dyDescent="0.3">
      <c r="A163" s="1" t="s">
        <v>262</v>
      </c>
      <c r="B163" s="2">
        <v>46284</v>
      </c>
      <c r="C163" s="1" t="s">
        <v>82</v>
      </c>
      <c r="D163" s="1" t="s">
        <v>83</v>
      </c>
      <c r="E163" s="1" t="s">
        <v>33</v>
      </c>
      <c r="F163" s="1" t="s">
        <v>116</v>
      </c>
      <c r="G163" s="1" t="s">
        <v>117</v>
      </c>
      <c r="H163" s="1" t="s">
        <v>118</v>
      </c>
      <c r="I163" s="1">
        <v>195</v>
      </c>
      <c r="J163" s="1" t="s">
        <v>37</v>
      </c>
      <c r="K163" s="1">
        <v>35</v>
      </c>
      <c r="L163" s="1">
        <v>0</v>
      </c>
      <c r="M163" s="1">
        <v>6825</v>
      </c>
      <c r="N163" s="1">
        <v>6825</v>
      </c>
      <c r="O163" s="1">
        <v>3900</v>
      </c>
      <c r="P163" s="1">
        <v>2925</v>
      </c>
      <c r="Q163" s="1" t="s">
        <v>45</v>
      </c>
      <c r="R163" s="1" t="s">
        <v>38</v>
      </c>
      <c r="S163" s="1" t="s">
        <v>63</v>
      </c>
    </row>
    <row r="164" spans="1:19" x14ac:dyDescent="0.3">
      <c r="A164" s="1" t="s">
        <v>263</v>
      </c>
      <c r="B164" s="2">
        <v>46283</v>
      </c>
      <c r="C164" s="1" t="s">
        <v>20</v>
      </c>
      <c r="D164" s="1" t="s">
        <v>21</v>
      </c>
      <c r="E164" s="1" t="s">
        <v>22</v>
      </c>
      <c r="F164" s="1" t="s">
        <v>101</v>
      </c>
      <c r="G164" s="1" t="s">
        <v>102</v>
      </c>
      <c r="H164" s="1" t="s">
        <v>103</v>
      </c>
      <c r="I164" s="1">
        <v>118</v>
      </c>
      <c r="J164" s="1" t="s">
        <v>26</v>
      </c>
      <c r="K164" s="1">
        <v>85</v>
      </c>
      <c r="L164" s="1">
        <v>0</v>
      </c>
      <c r="M164" s="1">
        <v>10030</v>
      </c>
      <c r="N164" s="1">
        <v>10030</v>
      </c>
      <c r="O164" s="1">
        <v>6018</v>
      </c>
      <c r="P164" s="1">
        <v>4012</v>
      </c>
      <c r="Q164" s="1" t="s">
        <v>45</v>
      </c>
      <c r="R164" s="1" t="s">
        <v>38</v>
      </c>
      <c r="S164" s="1" t="s">
        <v>63</v>
      </c>
    </row>
    <row r="165" spans="1:19" x14ac:dyDescent="0.3">
      <c r="A165" s="1" t="s">
        <v>264</v>
      </c>
      <c r="B165" s="2">
        <v>46267</v>
      </c>
      <c r="C165" s="1" t="s">
        <v>31</v>
      </c>
      <c r="D165" s="1" t="s">
        <v>32</v>
      </c>
      <c r="E165" s="1" t="s">
        <v>33</v>
      </c>
      <c r="F165" s="1" t="s">
        <v>23</v>
      </c>
      <c r="G165" s="1" t="s">
        <v>24</v>
      </c>
      <c r="H165" s="1" t="s">
        <v>25</v>
      </c>
      <c r="I165" s="1">
        <v>52</v>
      </c>
      <c r="J165" s="1" t="s">
        <v>37</v>
      </c>
      <c r="K165" s="1">
        <v>50</v>
      </c>
      <c r="L165" s="1">
        <v>0.03</v>
      </c>
      <c r="M165" s="1">
        <v>2600</v>
      </c>
      <c r="N165" s="1">
        <v>2522</v>
      </c>
      <c r="O165" s="1">
        <v>1508</v>
      </c>
      <c r="P165" s="1">
        <v>1014</v>
      </c>
      <c r="Q165" s="1" t="s">
        <v>73</v>
      </c>
      <c r="R165" s="1" t="s">
        <v>38</v>
      </c>
      <c r="S165" s="1" t="s">
        <v>68</v>
      </c>
    </row>
    <row r="166" spans="1:19" x14ac:dyDescent="0.3">
      <c r="A166" s="1" t="s">
        <v>265</v>
      </c>
      <c r="B166" s="2">
        <v>46290</v>
      </c>
      <c r="C166" s="1" t="s">
        <v>60</v>
      </c>
      <c r="D166" s="1" t="s">
        <v>61</v>
      </c>
      <c r="E166" s="1" t="s">
        <v>62</v>
      </c>
      <c r="F166" s="1" t="s">
        <v>101</v>
      </c>
      <c r="G166" s="1" t="s">
        <v>102</v>
      </c>
      <c r="H166" s="1" t="s">
        <v>103</v>
      </c>
      <c r="I166" s="1">
        <v>91</v>
      </c>
      <c r="J166" s="1" t="s">
        <v>37</v>
      </c>
      <c r="K166" s="1">
        <v>40</v>
      </c>
      <c r="L166" s="1">
        <v>0.03</v>
      </c>
      <c r="M166" s="1">
        <v>3640</v>
      </c>
      <c r="N166" s="1">
        <v>3530.8</v>
      </c>
      <c r="O166" s="1">
        <v>2093</v>
      </c>
      <c r="P166" s="1">
        <v>1437.8</v>
      </c>
      <c r="Q166" s="1" t="s">
        <v>54</v>
      </c>
      <c r="R166" s="1" t="s">
        <v>38</v>
      </c>
      <c r="S166" s="1" t="s">
        <v>68</v>
      </c>
    </row>
    <row r="167" spans="1:19" x14ac:dyDescent="0.3">
      <c r="A167" s="1" t="s">
        <v>266</v>
      </c>
      <c r="B167" s="2">
        <v>46287</v>
      </c>
      <c r="C167" s="1" t="s">
        <v>88</v>
      </c>
      <c r="D167" s="1" t="s">
        <v>89</v>
      </c>
      <c r="E167" s="1" t="s">
        <v>62</v>
      </c>
      <c r="F167" s="1" t="s">
        <v>70</v>
      </c>
      <c r="G167" s="1" t="s">
        <v>71</v>
      </c>
      <c r="H167" s="1" t="s">
        <v>72</v>
      </c>
      <c r="I167" s="1">
        <v>139</v>
      </c>
      <c r="J167" s="1" t="s">
        <v>37</v>
      </c>
      <c r="K167" s="1">
        <v>20</v>
      </c>
      <c r="L167" s="1">
        <v>0</v>
      </c>
      <c r="M167" s="1">
        <v>2780</v>
      </c>
      <c r="N167" s="1">
        <v>2780</v>
      </c>
      <c r="O167" s="1">
        <v>1529</v>
      </c>
      <c r="P167" s="1">
        <v>1251</v>
      </c>
      <c r="Q167" s="1" t="s">
        <v>54</v>
      </c>
      <c r="R167" s="1" t="s">
        <v>38</v>
      </c>
      <c r="S167" s="1" t="s">
        <v>68</v>
      </c>
    </row>
    <row r="168" spans="1:19" x14ac:dyDescent="0.3">
      <c r="A168" s="1" t="s">
        <v>267</v>
      </c>
      <c r="B168" s="2">
        <v>46276</v>
      </c>
      <c r="C168" s="1" t="s">
        <v>65</v>
      </c>
      <c r="D168" s="1" t="s">
        <v>66</v>
      </c>
      <c r="E168" s="1" t="s">
        <v>49</v>
      </c>
      <c r="F168" s="1" t="s">
        <v>78</v>
      </c>
      <c r="G168" s="1" t="s">
        <v>79</v>
      </c>
      <c r="H168" s="1" t="s">
        <v>80</v>
      </c>
      <c r="I168" s="1">
        <v>53</v>
      </c>
      <c r="J168" s="1" t="s">
        <v>53</v>
      </c>
      <c r="K168" s="1">
        <v>25</v>
      </c>
      <c r="L168" s="1">
        <v>0.05</v>
      </c>
      <c r="M168" s="1">
        <v>1325</v>
      </c>
      <c r="N168" s="1">
        <v>1258.75</v>
      </c>
      <c r="O168" s="1">
        <v>752.6</v>
      </c>
      <c r="P168" s="1">
        <v>506.15</v>
      </c>
      <c r="Q168" s="1" t="s">
        <v>54</v>
      </c>
      <c r="R168" s="1" t="s">
        <v>38</v>
      </c>
      <c r="S168" s="1" t="s">
        <v>29</v>
      </c>
    </row>
    <row r="169" spans="1:19" x14ac:dyDescent="0.3">
      <c r="A169" s="1" t="s">
        <v>268</v>
      </c>
      <c r="B169" s="2">
        <v>46295</v>
      </c>
      <c r="C169" s="1" t="s">
        <v>20</v>
      </c>
      <c r="D169" s="1" t="s">
        <v>21</v>
      </c>
      <c r="E169" s="1" t="s">
        <v>22</v>
      </c>
      <c r="F169" s="1" t="s">
        <v>142</v>
      </c>
      <c r="G169" s="1" t="s">
        <v>143</v>
      </c>
      <c r="H169" s="1" t="s">
        <v>144</v>
      </c>
      <c r="I169" s="1">
        <v>191</v>
      </c>
      <c r="J169" s="1" t="s">
        <v>26</v>
      </c>
      <c r="K169" s="1">
        <v>85</v>
      </c>
      <c r="L169" s="1">
        <v>0.02</v>
      </c>
      <c r="M169" s="1">
        <v>16235</v>
      </c>
      <c r="N169" s="1">
        <v>15910.3</v>
      </c>
      <c r="O169" s="1">
        <v>9741</v>
      </c>
      <c r="P169" s="1">
        <v>6169.3</v>
      </c>
      <c r="Q169" s="1" t="s">
        <v>73</v>
      </c>
      <c r="R169" s="1" t="s">
        <v>38</v>
      </c>
      <c r="S169" s="1" t="s">
        <v>63</v>
      </c>
    </row>
    <row r="170" spans="1:19" x14ac:dyDescent="0.3">
      <c r="A170" s="1" t="s">
        <v>269</v>
      </c>
      <c r="B170" s="2">
        <v>46281</v>
      </c>
      <c r="C170" s="1" t="s">
        <v>47</v>
      </c>
      <c r="D170" s="1" t="s">
        <v>48</v>
      </c>
      <c r="E170" s="1" t="s">
        <v>49</v>
      </c>
      <c r="F170" s="1" t="s">
        <v>92</v>
      </c>
      <c r="G170" s="1" t="s">
        <v>93</v>
      </c>
      <c r="H170" s="1" t="s">
        <v>94</v>
      </c>
      <c r="I170" s="1">
        <v>210</v>
      </c>
      <c r="J170" s="1" t="s">
        <v>53</v>
      </c>
      <c r="K170" s="1">
        <v>25</v>
      </c>
      <c r="L170" s="1">
        <v>0.05</v>
      </c>
      <c r="M170" s="1">
        <v>5250</v>
      </c>
      <c r="N170" s="1">
        <v>4987.5</v>
      </c>
      <c r="O170" s="1">
        <v>2940</v>
      </c>
      <c r="P170" s="1">
        <v>2047.5</v>
      </c>
      <c r="Q170" s="1" t="s">
        <v>45</v>
      </c>
      <c r="R170" s="1" t="s">
        <v>38</v>
      </c>
      <c r="S170" s="1" t="s">
        <v>68</v>
      </c>
    </row>
    <row r="171" spans="1:19" x14ac:dyDescent="0.3">
      <c r="A171" s="1" t="s">
        <v>270</v>
      </c>
      <c r="B171" s="2">
        <v>46285</v>
      </c>
      <c r="C171" s="1" t="s">
        <v>47</v>
      </c>
      <c r="D171" s="1" t="s">
        <v>48</v>
      </c>
      <c r="E171" s="1" t="s">
        <v>49</v>
      </c>
      <c r="F171" s="1" t="s">
        <v>70</v>
      </c>
      <c r="G171" s="1" t="s">
        <v>71</v>
      </c>
      <c r="H171" s="1" t="s">
        <v>72</v>
      </c>
      <c r="I171" s="1">
        <v>100</v>
      </c>
      <c r="J171" s="1" t="s">
        <v>53</v>
      </c>
      <c r="K171" s="1">
        <v>25</v>
      </c>
      <c r="L171" s="1">
        <v>0.02</v>
      </c>
      <c r="M171" s="1">
        <v>2500</v>
      </c>
      <c r="N171" s="1">
        <v>2450</v>
      </c>
      <c r="O171" s="1">
        <v>1400</v>
      </c>
      <c r="P171" s="1">
        <v>1050</v>
      </c>
      <c r="Q171" s="1" t="s">
        <v>54</v>
      </c>
      <c r="R171" s="1" t="s">
        <v>38</v>
      </c>
      <c r="S171" s="1" t="s">
        <v>63</v>
      </c>
    </row>
    <row r="172" spans="1:19" x14ac:dyDescent="0.3">
      <c r="A172" s="1" t="s">
        <v>271</v>
      </c>
      <c r="B172" s="2">
        <v>46281</v>
      </c>
      <c r="C172" s="1" t="s">
        <v>47</v>
      </c>
      <c r="D172" s="1" t="s">
        <v>48</v>
      </c>
      <c r="E172" s="1" t="s">
        <v>49</v>
      </c>
      <c r="F172" s="1" t="s">
        <v>78</v>
      </c>
      <c r="G172" s="1" t="s">
        <v>79</v>
      </c>
      <c r="H172" s="1" t="s">
        <v>80</v>
      </c>
      <c r="I172" s="1">
        <v>164</v>
      </c>
      <c r="J172" s="1" t="s">
        <v>53</v>
      </c>
      <c r="K172" s="1">
        <v>25</v>
      </c>
      <c r="L172" s="1">
        <v>0.05</v>
      </c>
      <c r="M172" s="1">
        <v>4100</v>
      </c>
      <c r="N172" s="1">
        <v>3895</v>
      </c>
      <c r="O172" s="1">
        <v>2296</v>
      </c>
      <c r="P172" s="1">
        <v>1599</v>
      </c>
      <c r="Q172" s="1" t="s">
        <v>45</v>
      </c>
      <c r="R172" s="1" t="s">
        <v>28</v>
      </c>
      <c r="S172" s="1" t="s">
        <v>29</v>
      </c>
    </row>
    <row r="173" spans="1:19" x14ac:dyDescent="0.3">
      <c r="A173" s="1" t="s">
        <v>272</v>
      </c>
      <c r="B173" s="2">
        <v>46275</v>
      </c>
      <c r="C173" s="1" t="s">
        <v>60</v>
      </c>
      <c r="D173" s="1" t="s">
        <v>61</v>
      </c>
      <c r="E173" s="1" t="s">
        <v>62</v>
      </c>
      <c r="F173" s="1" t="s">
        <v>23</v>
      </c>
      <c r="G173" s="1" t="s">
        <v>24</v>
      </c>
      <c r="H173" s="1" t="s">
        <v>25</v>
      </c>
      <c r="I173" s="1">
        <v>109</v>
      </c>
      <c r="J173" s="1" t="s">
        <v>37</v>
      </c>
      <c r="K173" s="1">
        <v>40</v>
      </c>
      <c r="L173" s="1">
        <v>0.05</v>
      </c>
      <c r="M173" s="1">
        <v>4360</v>
      </c>
      <c r="N173" s="1">
        <v>4142</v>
      </c>
      <c r="O173" s="1">
        <v>2507</v>
      </c>
      <c r="P173" s="1">
        <v>1635</v>
      </c>
      <c r="Q173" s="1" t="s">
        <v>27</v>
      </c>
      <c r="R173" s="1" t="s">
        <v>28</v>
      </c>
      <c r="S173" s="1" t="s">
        <v>63</v>
      </c>
    </row>
    <row r="174" spans="1:19" x14ac:dyDescent="0.3">
      <c r="A174" s="1" t="s">
        <v>273</v>
      </c>
      <c r="B174" s="2">
        <v>46293</v>
      </c>
      <c r="C174" s="1" t="s">
        <v>40</v>
      </c>
      <c r="D174" s="1" t="s">
        <v>41</v>
      </c>
      <c r="E174" s="1" t="s">
        <v>33</v>
      </c>
      <c r="F174" s="1" t="s">
        <v>42</v>
      </c>
      <c r="G174" s="1" t="s">
        <v>43</v>
      </c>
      <c r="H174" s="1" t="s">
        <v>44</v>
      </c>
      <c r="I174" s="1">
        <v>135</v>
      </c>
      <c r="J174" s="1" t="s">
        <v>37</v>
      </c>
      <c r="K174" s="1">
        <v>20</v>
      </c>
      <c r="L174" s="1">
        <v>0.03</v>
      </c>
      <c r="M174" s="1">
        <v>2700</v>
      </c>
      <c r="N174" s="1">
        <v>2619</v>
      </c>
      <c r="O174" s="1">
        <v>1552.5</v>
      </c>
      <c r="P174" s="1">
        <v>1066.5</v>
      </c>
      <c r="Q174" s="1" t="s">
        <v>45</v>
      </c>
      <c r="R174" s="1" t="s">
        <v>38</v>
      </c>
      <c r="S174" s="1" t="s">
        <v>68</v>
      </c>
    </row>
    <row r="175" spans="1:19" x14ac:dyDescent="0.3">
      <c r="A175" s="1" t="s">
        <v>274</v>
      </c>
      <c r="B175" s="2">
        <v>46286</v>
      </c>
      <c r="C175" s="1" t="s">
        <v>47</v>
      </c>
      <c r="D175" s="1" t="s">
        <v>48</v>
      </c>
      <c r="E175" s="1" t="s">
        <v>49</v>
      </c>
      <c r="F175" s="1" t="s">
        <v>50</v>
      </c>
      <c r="G175" s="1" t="s">
        <v>51</v>
      </c>
      <c r="H175" s="1" t="s">
        <v>52</v>
      </c>
      <c r="I175" s="1">
        <v>202</v>
      </c>
      <c r="J175" s="1" t="s">
        <v>53</v>
      </c>
      <c r="K175" s="1">
        <v>25</v>
      </c>
      <c r="L175" s="1">
        <v>0</v>
      </c>
      <c r="M175" s="1">
        <v>5050</v>
      </c>
      <c r="N175" s="1">
        <v>5050</v>
      </c>
      <c r="O175" s="1">
        <v>2828</v>
      </c>
      <c r="P175" s="1">
        <v>2222</v>
      </c>
      <c r="Q175" s="1" t="s">
        <v>73</v>
      </c>
      <c r="R175" s="1" t="s">
        <v>28</v>
      </c>
      <c r="S175" s="1" t="s">
        <v>68</v>
      </c>
    </row>
    <row r="176" spans="1:19" x14ac:dyDescent="0.3">
      <c r="A176" s="1" t="s">
        <v>275</v>
      </c>
      <c r="B176" s="2">
        <v>46268</v>
      </c>
      <c r="C176" s="1" t="s">
        <v>82</v>
      </c>
      <c r="D176" s="1" t="s">
        <v>83</v>
      </c>
      <c r="E176" s="1" t="s">
        <v>33</v>
      </c>
      <c r="F176" s="1" t="s">
        <v>70</v>
      </c>
      <c r="G176" s="1" t="s">
        <v>71</v>
      </c>
      <c r="H176" s="1" t="s">
        <v>72</v>
      </c>
      <c r="I176" s="1">
        <v>53</v>
      </c>
      <c r="J176" s="1" t="s">
        <v>37</v>
      </c>
      <c r="K176" s="1">
        <v>35</v>
      </c>
      <c r="L176" s="1">
        <v>0.05</v>
      </c>
      <c r="M176" s="1">
        <v>1855</v>
      </c>
      <c r="N176" s="1">
        <v>1762.25</v>
      </c>
      <c r="O176" s="1">
        <v>1060</v>
      </c>
      <c r="P176" s="1">
        <v>702.25</v>
      </c>
      <c r="Q176" s="1" t="s">
        <v>45</v>
      </c>
      <c r="R176" s="1" t="s">
        <v>38</v>
      </c>
      <c r="S176" s="1" t="s">
        <v>63</v>
      </c>
    </row>
    <row r="177" spans="1:19" x14ac:dyDescent="0.3">
      <c r="A177" s="1" t="s">
        <v>276</v>
      </c>
      <c r="B177" s="2">
        <v>46266</v>
      </c>
      <c r="C177" s="1" t="s">
        <v>20</v>
      </c>
      <c r="D177" s="1" t="s">
        <v>21</v>
      </c>
      <c r="E177" s="1" t="s">
        <v>22</v>
      </c>
      <c r="F177" s="1" t="s">
        <v>142</v>
      </c>
      <c r="G177" s="1" t="s">
        <v>143</v>
      </c>
      <c r="H177" s="1" t="s">
        <v>144</v>
      </c>
      <c r="I177" s="1">
        <v>111</v>
      </c>
      <c r="J177" s="1" t="s">
        <v>26</v>
      </c>
      <c r="K177" s="1">
        <v>85</v>
      </c>
      <c r="L177" s="1">
        <v>0.03</v>
      </c>
      <c r="M177" s="1">
        <v>9435</v>
      </c>
      <c r="N177" s="1">
        <v>9151.9500000000007</v>
      </c>
      <c r="O177" s="1">
        <v>5661</v>
      </c>
      <c r="P177" s="1">
        <v>3490.95</v>
      </c>
      <c r="Q177" s="1" t="s">
        <v>73</v>
      </c>
      <c r="R177" s="1" t="s">
        <v>28</v>
      </c>
      <c r="S177" s="1" t="s">
        <v>68</v>
      </c>
    </row>
    <row r="178" spans="1:19" x14ac:dyDescent="0.3">
      <c r="A178" s="1" t="s">
        <v>277</v>
      </c>
      <c r="B178" s="2">
        <v>46269</v>
      </c>
      <c r="C178" s="1" t="s">
        <v>31</v>
      </c>
      <c r="D178" s="1" t="s">
        <v>32</v>
      </c>
      <c r="E178" s="1" t="s">
        <v>33</v>
      </c>
      <c r="F178" s="1" t="s">
        <v>97</v>
      </c>
      <c r="G178" s="1" t="s">
        <v>98</v>
      </c>
      <c r="H178" s="1" t="s">
        <v>94</v>
      </c>
      <c r="I178" s="1">
        <v>151</v>
      </c>
      <c r="J178" s="1" t="s">
        <v>37</v>
      </c>
      <c r="K178" s="1">
        <v>50</v>
      </c>
      <c r="L178" s="1">
        <v>0.03</v>
      </c>
      <c r="M178" s="1">
        <v>7550</v>
      </c>
      <c r="N178" s="1">
        <v>7323.5</v>
      </c>
      <c r="O178" s="1">
        <v>4379</v>
      </c>
      <c r="P178" s="1">
        <v>2944.5</v>
      </c>
      <c r="Q178" s="1" t="s">
        <v>73</v>
      </c>
      <c r="R178" s="1" t="s">
        <v>38</v>
      </c>
      <c r="S178" s="1" t="s">
        <v>63</v>
      </c>
    </row>
    <row r="179" spans="1:19" x14ac:dyDescent="0.3">
      <c r="A179" s="1" t="s">
        <v>278</v>
      </c>
      <c r="B179" s="2">
        <v>46285</v>
      </c>
      <c r="C179" s="1" t="s">
        <v>20</v>
      </c>
      <c r="D179" s="1" t="s">
        <v>21</v>
      </c>
      <c r="E179" s="1" t="s">
        <v>22</v>
      </c>
      <c r="F179" s="1" t="s">
        <v>127</v>
      </c>
      <c r="G179" s="1" t="s">
        <v>128</v>
      </c>
      <c r="H179" s="1" t="s">
        <v>129</v>
      </c>
      <c r="I179" s="1">
        <v>215</v>
      </c>
      <c r="J179" s="1" t="s">
        <v>26</v>
      </c>
      <c r="K179" s="1">
        <v>85</v>
      </c>
      <c r="L179" s="1">
        <v>0.03</v>
      </c>
      <c r="M179" s="1">
        <v>18275</v>
      </c>
      <c r="N179" s="1">
        <v>17726.75</v>
      </c>
      <c r="O179" s="1">
        <v>10965</v>
      </c>
      <c r="P179" s="1">
        <v>6761.75</v>
      </c>
      <c r="Q179" s="1" t="s">
        <v>27</v>
      </c>
      <c r="R179" s="1" t="s">
        <v>28</v>
      </c>
      <c r="S179" s="1" t="s">
        <v>29</v>
      </c>
    </row>
    <row r="180" spans="1:19" x14ac:dyDescent="0.3">
      <c r="A180" s="1" t="s">
        <v>279</v>
      </c>
      <c r="B180" s="2">
        <v>46280</v>
      </c>
      <c r="C180" s="1" t="s">
        <v>60</v>
      </c>
      <c r="D180" s="1" t="s">
        <v>61</v>
      </c>
      <c r="E180" s="1" t="s">
        <v>62</v>
      </c>
      <c r="F180" s="1" t="s">
        <v>50</v>
      </c>
      <c r="G180" s="1" t="s">
        <v>51</v>
      </c>
      <c r="H180" s="1" t="s">
        <v>52</v>
      </c>
      <c r="I180" s="1">
        <v>80</v>
      </c>
      <c r="J180" s="1" t="s">
        <v>37</v>
      </c>
      <c r="K180" s="1">
        <v>40</v>
      </c>
      <c r="L180" s="1">
        <v>0.05</v>
      </c>
      <c r="M180" s="1">
        <v>3200</v>
      </c>
      <c r="N180" s="1">
        <v>3040</v>
      </c>
      <c r="O180" s="1">
        <v>1840</v>
      </c>
      <c r="P180" s="1">
        <v>1200</v>
      </c>
      <c r="Q180" s="1" t="s">
        <v>27</v>
      </c>
      <c r="R180" s="1" t="s">
        <v>38</v>
      </c>
      <c r="S180" s="1" t="s">
        <v>68</v>
      </c>
    </row>
    <row r="181" spans="1:19" x14ac:dyDescent="0.3">
      <c r="A181" s="1" t="s">
        <v>280</v>
      </c>
      <c r="B181" s="2">
        <v>46295</v>
      </c>
      <c r="C181" s="1" t="s">
        <v>65</v>
      </c>
      <c r="D181" s="1" t="s">
        <v>66</v>
      </c>
      <c r="E181" s="1" t="s">
        <v>49</v>
      </c>
      <c r="F181" s="1" t="s">
        <v>116</v>
      </c>
      <c r="G181" s="1" t="s">
        <v>117</v>
      </c>
      <c r="H181" s="1" t="s">
        <v>118</v>
      </c>
      <c r="I181" s="1">
        <v>111</v>
      </c>
      <c r="J181" s="1" t="s">
        <v>53</v>
      </c>
      <c r="K181" s="1">
        <v>25</v>
      </c>
      <c r="L181" s="1">
        <v>0.03</v>
      </c>
      <c r="M181" s="1">
        <v>2775</v>
      </c>
      <c r="N181" s="1">
        <v>2691.75</v>
      </c>
      <c r="O181" s="1">
        <v>1576.2</v>
      </c>
      <c r="P181" s="1">
        <v>1115.55</v>
      </c>
      <c r="Q181" s="1" t="s">
        <v>54</v>
      </c>
      <c r="R181" s="1" t="s">
        <v>28</v>
      </c>
      <c r="S181" s="1" t="s">
        <v>63</v>
      </c>
    </row>
    <row r="182" spans="1:19" x14ac:dyDescent="0.3">
      <c r="A182" s="1" t="s">
        <v>281</v>
      </c>
      <c r="B182" s="2">
        <v>46273</v>
      </c>
      <c r="C182" s="1" t="s">
        <v>20</v>
      </c>
      <c r="D182" s="1" t="s">
        <v>21</v>
      </c>
      <c r="E182" s="1" t="s">
        <v>22</v>
      </c>
      <c r="F182" s="1" t="s">
        <v>42</v>
      </c>
      <c r="G182" s="1" t="s">
        <v>43</v>
      </c>
      <c r="H182" s="1" t="s">
        <v>44</v>
      </c>
      <c r="I182" s="1">
        <v>59</v>
      </c>
      <c r="J182" s="1" t="s">
        <v>26</v>
      </c>
      <c r="K182" s="1">
        <v>85</v>
      </c>
      <c r="L182" s="1">
        <v>0</v>
      </c>
      <c r="M182" s="1">
        <v>5015</v>
      </c>
      <c r="N182" s="1">
        <v>5015</v>
      </c>
      <c r="O182" s="1">
        <v>3009</v>
      </c>
      <c r="P182" s="1">
        <v>2006</v>
      </c>
      <c r="Q182" s="1" t="s">
        <v>45</v>
      </c>
      <c r="R182" s="1" t="s">
        <v>38</v>
      </c>
      <c r="S182" s="1" t="s">
        <v>29</v>
      </c>
    </row>
    <row r="183" spans="1:19" x14ac:dyDescent="0.3">
      <c r="A183" s="1" t="s">
        <v>282</v>
      </c>
      <c r="B183" s="2">
        <v>46268</v>
      </c>
      <c r="C183" s="1" t="s">
        <v>31</v>
      </c>
      <c r="D183" s="1" t="s">
        <v>32</v>
      </c>
      <c r="E183" s="1" t="s">
        <v>33</v>
      </c>
      <c r="F183" s="1" t="s">
        <v>70</v>
      </c>
      <c r="G183" s="1" t="s">
        <v>71</v>
      </c>
      <c r="H183" s="1" t="s">
        <v>72</v>
      </c>
      <c r="I183" s="1">
        <v>55</v>
      </c>
      <c r="J183" s="1" t="s">
        <v>37</v>
      </c>
      <c r="K183" s="1">
        <v>50</v>
      </c>
      <c r="L183" s="1">
        <v>0</v>
      </c>
      <c r="M183" s="1">
        <v>2750</v>
      </c>
      <c r="N183" s="1">
        <v>2750</v>
      </c>
      <c r="O183" s="1">
        <v>1595</v>
      </c>
      <c r="P183" s="1">
        <v>1155</v>
      </c>
      <c r="Q183" s="1" t="s">
        <v>27</v>
      </c>
      <c r="R183" s="1" t="s">
        <v>67</v>
      </c>
      <c r="S183" s="1" t="s">
        <v>68</v>
      </c>
    </row>
    <row r="184" spans="1:19" x14ac:dyDescent="0.3">
      <c r="A184" s="1" t="s">
        <v>283</v>
      </c>
      <c r="B184" s="2">
        <v>46270</v>
      </c>
      <c r="C184" s="1" t="s">
        <v>31</v>
      </c>
      <c r="D184" s="1" t="s">
        <v>32</v>
      </c>
      <c r="E184" s="1" t="s">
        <v>33</v>
      </c>
      <c r="F184" s="1" t="s">
        <v>112</v>
      </c>
      <c r="G184" s="1" t="s">
        <v>113</v>
      </c>
      <c r="H184" s="1" t="s">
        <v>114</v>
      </c>
      <c r="I184" s="1">
        <v>186</v>
      </c>
      <c r="J184" s="1" t="s">
        <v>37</v>
      </c>
      <c r="K184" s="1">
        <v>50</v>
      </c>
      <c r="L184" s="1">
        <v>0.03</v>
      </c>
      <c r="M184" s="1">
        <v>9300</v>
      </c>
      <c r="N184" s="1">
        <v>9021</v>
      </c>
      <c r="O184" s="1">
        <v>5394</v>
      </c>
      <c r="P184" s="1">
        <v>3627</v>
      </c>
      <c r="Q184" s="1" t="s">
        <v>54</v>
      </c>
      <c r="R184" s="1" t="s">
        <v>38</v>
      </c>
      <c r="S184" s="1" t="s">
        <v>29</v>
      </c>
    </row>
    <row r="185" spans="1:19" x14ac:dyDescent="0.3">
      <c r="A185" s="1" t="s">
        <v>284</v>
      </c>
      <c r="B185" s="2">
        <v>46277</v>
      </c>
      <c r="C185" s="1" t="s">
        <v>31</v>
      </c>
      <c r="D185" s="1" t="s">
        <v>32</v>
      </c>
      <c r="E185" s="1" t="s">
        <v>33</v>
      </c>
      <c r="F185" s="1" t="s">
        <v>78</v>
      </c>
      <c r="G185" s="1" t="s">
        <v>79</v>
      </c>
      <c r="H185" s="1" t="s">
        <v>80</v>
      </c>
      <c r="I185" s="1">
        <v>180</v>
      </c>
      <c r="J185" s="1" t="s">
        <v>37</v>
      </c>
      <c r="K185" s="1">
        <v>50</v>
      </c>
      <c r="L185" s="1">
        <v>0.02</v>
      </c>
      <c r="M185" s="1">
        <v>9000</v>
      </c>
      <c r="N185" s="1">
        <v>8820</v>
      </c>
      <c r="O185" s="1">
        <v>5220</v>
      </c>
      <c r="P185" s="1">
        <v>3600</v>
      </c>
      <c r="Q185" s="1" t="s">
        <v>27</v>
      </c>
      <c r="R185" s="1" t="s">
        <v>28</v>
      </c>
      <c r="S185" s="1" t="s">
        <v>29</v>
      </c>
    </row>
    <row r="186" spans="1:19" x14ac:dyDescent="0.3">
      <c r="A186" s="1" t="s">
        <v>285</v>
      </c>
      <c r="B186" s="2">
        <v>46282</v>
      </c>
      <c r="C186" s="1" t="s">
        <v>76</v>
      </c>
      <c r="D186" s="1" t="s">
        <v>77</v>
      </c>
      <c r="E186" s="1" t="s">
        <v>33</v>
      </c>
      <c r="F186" s="1" t="s">
        <v>56</v>
      </c>
      <c r="G186" s="1" t="s">
        <v>57</v>
      </c>
      <c r="H186" s="1" t="s">
        <v>58</v>
      </c>
      <c r="I186" s="1">
        <v>130</v>
      </c>
      <c r="J186" s="1" t="s">
        <v>37</v>
      </c>
      <c r="K186" s="1">
        <v>20</v>
      </c>
      <c r="L186" s="1">
        <v>0.05</v>
      </c>
      <c r="M186" s="1">
        <v>2600</v>
      </c>
      <c r="N186" s="1">
        <v>2470</v>
      </c>
      <c r="O186" s="1">
        <v>1534</v>
      </c>
      <c r="P186" s="1">
        <v>936</v>
      </c>
      <c r="Q186" s="1" t="s">
        <v>27</v>
      </c>
      <c r="R186" s="1" t="s">
        <v>28</v>
      </c>
      <c r="S186" s="1" t="s">
        <v>29</v>
      </c>
    </row>
    <row r="187" spans="1:19" x14ac:dyDescent="0.3">
      <c r="A187" s="1" t="s">
        <v>286</v>
      </c>
      <c r="B187" s="2">
        <v>46270</v>
      </c>
      <c r="C187" s="1" t="s">
        <v>106</v>
      </c>
      <c r="D187" s="1" t="s">
        <v>107</v>
      </c>
      <c r="E187" s="1" t="s">
        <v>108</v>
      </c>
      <c r="F187" s="1" t="s">
        <v>97</v>
      </c>
      <c r="G187" s="1" t="s">
        <v>98</v>
      </c>
      <c r="H187" s="1" t="s">
        <v>94</v>
      </c>
      <c r="I187" s="1">
        <v>67</v>
      </c>
      <c r="J187" s="1" t="s">
        <v>37</v>
      </c>
      <c r="K187" s="1">
        <v>15</v>
      </c>
      <c r="L187" s="1">
        <v>0</v>
      </c>
      <c r="M187" s="1">
        <v>1005</v>
      </c>
      <c r="N187" s="1">
        <v>1005</v>
      </c>
      <c r="O187" s="1">
        <v>569.5</v>
      </c>
      <c r="P187" s="1">
        <v>435.5</v>
      </c>
      <c r="Q187" s="1" t="s">
        <v>45</v>
      </c>
      <c r="R187" s="1" t="s">
        <v>67</v>
      </c>
      <c r="S187" s="1" t="s">
        <v>29</v>
      </c>
    </row>
    <row r="188" spans="1:19" x14ac:dyDescent="0.3">
      <c r="A188" s="1" t="s">
        <v>287</v>
      </c>
      <c r="B188" s="2">
        <v>46276</v>
      </c>
      <c r="C188" s="1" t="s">
        <v>40</v>
      </c>
      <c r="D188" s="1" t="s">
        <v>41</v>
      </c>
      <c r="E188" s="1" t="s">
        <v>33</v>
      </c>
      <c r="F188" s="1" t="s">
        <v>116</v>
      </c>
      <c r="G188" s="1" t="s">
        <v>117</v>
      </c>
      <c r="H188" s="1" t="s">
        <v>118</v>
      </c>
      <c r="I188" s="1">
        <v>30</v>
      </c>
      <c r="J188" s="1" t="s">
        <v>37</v>
      </c>
      <c r="K188" s="1">
        <v>20</v>
      </c>
      <c r="L188" s="1">
        <v>0</v>
      </c>
      <c r="M188" s="1">
        <v>600</v>
      </c>
      <c r="N188" s="1">
        <v>600</v>
      </c>
      <c r="O188" s="1">
        <v>345</v>
      </c>
      <c r="P188" s="1">
        <v>255</v>
      </c>
      <c r="Q188" s="1" t="s">
        <v>27</v>
      </c>
      <c r="R188" s="1" t="s">
        <v>38</v>
      </c>
      <c r="S188" s="1" t="s">
        <v>63</v>
      </c>
    </row>
    <row r="189" spans="1:19" x14ac:dyDescent="0.3">
      <c r="A189" s="1" t="s">
        <v>288</v>
      </c>
      <c r="B189" s="2">
        <v>46286</v>
      </c>
      <c r="C189" s="1" t="s">
        <v>40</v>
      </c>
      <c r="D189" s="1" t="s">
        <v>41</v>
      </c>
      <c r="E189" s="1" t="s">
        <v>33</v>
      </c>
      <c r="F189" s="1" t="s">
        <v>127</v>
      </c>
      <c r="G189" s="1" t="s">
        <v>128</v>
      </c>
      <c r="H189" s="1" t="s">
        <v>129</v>
      </c>
      <c r="I189" s="1">
        <v>111</v>
      </c>
      <c r="J189" s="1" t="s">
        <v>37</v>
      </c>
      <c r="K189" s="1">
        <v>20</v>
      </c>
      <c r="L189" s="1">
        <v>0.02</v>
      </c>
      <c r="M189" s="1">
        <v>2220</v>
      </c>
      <c r="N189" s="1">
        <v>2175.6</v>
      </c>
      <c r="O189" s="1">
        <v>1276.5</v>
      </c>
      <c r="P189" s="1">
        <v>899.1</v>
      </c>
      <c r="Q189" s="1" t="s">
        <v>54</v>
      </c>
      <c r="R189" s="1" t="s">
        <v>38</v>
      </c>
      <c r="S189" s="1" t="s">
        <v>68</v>
      </c>
    </row>
    <row r="190" spans="1:19" x14ac:dyDescent="0.3">
      <c r="A190" s="1" t="s">
        <v>289</v>
      </c>
      <c r="B190" s="2">
        <v>46268</v>
      </c>
      <c r="C190" s="1" t="s">
        <v>47</v>
      </c>
      <c r="D190" s="1" t="s">
        <v>48</v>
      </c>
      <c r="E190" s="1" t="s">
        <v>49</v>
      </c>
      <c r="F190" s="1" t="s">
        <v>42</v>
      </c>
      <c r="G190" s="1" t="s">
        <v>43</v>
      </c>
      <c r="H190" s="1" t="s">
        <v>44</v>
      </c>
      <c r="I190" s="1">
        <v>27</v>
      </c>
      <c r="J190" s="1" t="s">
        <v>53</v>
      </c>
      <c r="K190" s="1">
        <v>25</v>
      </c>
      <c r="L190" s="1">
        <v>0</v>
      </c>
      <c r="M190" s="1">
        <v>675</v>
      </c>
      <c r="N190" s="1">
        <v>675</v>
      </c>
      <c r="O190" s="1">
        <v>378</v>
      </c>
      <c r="P190" s="1">
        <v>297</v>
      </c>
      <c r="Q190" s="1" t="s">
        <v>73</v>
      </c>
      <c r="R190" s="1" t="s">
        <v>38</v>
      </c>
      <c r="S190" s="1" t="s">
        <v>68</v>
      </c>
    </row>
    <row r="191" spans="1:19" x14ac:dyDescent="0.3">
      <c r="A191" s="1" t="s">
        <v>290</v>
      </c>
      <c r="B191" s="2">
        <v>46294</v>
      </c>
      <c r="C191" s="1" t="s">
        <v>20</v>
      </c>
      <c r="D191" s="1" t="s">
        <v>21</v>
      </c>
      <c r="E191" s="1" t="s">
        <v>22</v>
      </c>
      <c r="F191" s="1" t="s">
        <v>56</v>
      </c>
      <c r="G191" s="1" t="s">
        <v>57</v>
      </c>
      <c r="H191" s="1" t="s">
        <v>58</v>
      </c>
      <c r="I191" s="1">
        <v>79</v>
      </c>
      <c r="J191" s="1" t="s">
        <v>26</v>
      </c>
      <c r="K191" s="1">
        <v>85</v>
      </c>
      <c r="L191" s="1">
        <v>0</v>
      </c>
      <c r="M191" s="1">
        <v>6715</v>
      </c>
      <c r="N191" s="1">
        <v>6715</v>
      </c>
      <c r="O191" s="1">
        <v>4029</v>
      </c>
      <c r="P191" s="1">
        <v>2686</v>
      </c>
      <c r="Q191" s="1" t="s">
        <v>27</v>
      </c>
      <c r="R191" s="1" t="s">
        <v>38</v>
      </c>
      <c r="S191" s="1" t="s">
        <v>63</v>
      </c>
    </row>
    <row r="192" spans="1:19" x14ac:dyDescent="0.3">
      <c r="A192" s="1" t="s">
        <v>291</v>
      </c>
      <c r="B192" s="2">
        <v>46292</v>
      </c>
      <c r="C192" s="1" t="s">
        <v>65</v>
      </c>
      <c r="D192" s="1" t="s">
        <v>66</v>
      </c>
      <c r="E192" s="1" t="s">
        <v>49</v>
      </c>
      <c r="F192" s="1" t="s">
        <v>84</v>
      </c>
      <c r="G192" s="1" t="s">
        <v>85</v>
      </c>
      <c r="H192" s="1" t="s">
        <v>86</v>
      </c>
      <c r="I192" s="1">
        <v>210</v>
      </c>
      <c r="J192" s="1" t="s">
        <v>53</v>
      </c>
      <c r="K192" s="1">
        <v>25</v>
      </c>
      <c r="L192" s="1">
        <v>0.05</v>
      </c>
      <c r="M192" s="1">
        <v>5250</v>
      </c>
      <c r="N192" s="1">
        <v>4987.5</v>
      </c>
      <c r="O192" s="1">
        <v>2982</v>
      </c>
      <c r="P192" s="1">
        <v>2005.5</v>
      </c>
      <c r="Q192" s="1" t="s">
        <v>73</v>
      </c>
      <c r="R192" s="1" t="s">
        <v>38</v>
      </c>
      <c r="S192" s="1" t="s">
        <v>29</v>
      </c>
    </row>
    <row r="193" spans="1:19" x14ac:dyDescent="0.3">
      <c r="A193" s="1" t="s">
        <v>292</v>
      </c>
      <c r="B193" s="2">
        <v>46272</v>
      </c>
      <c r="C193" s="1" t="s">
        <v>20</v>
      </c>
      <c r="D193" s="1" t="s">
        <v>21</v>
      </c>
      <c r="E193" s="1" t="s">
        <v>22</v>
      </c>
      <c r="F193" s="1" t="s">
        <v>42</v>
      </c>
      <c r="G193" s="1" t="s">
        <v>43</v>
      </c>
      <c r="H193" s="1" t="s">
        <v>44</v>
      </c>
      <c r="I193" s="1">
        <v>37</v>
      </c>
      <c r="J193" s="1" t="s">
        <v>26</v>
      </c>
      <c r="K193" s="1">
        <v>85</v>
      </c>
      <c r="L193" s="1">
        <v>0.03</v>
      </c>
      <c r="M193" s="1">
        <v>3145</v>
      </c>
      <c r="N193" s="1">
        <v>3050.65</v>
      </c>
      <c r="O193" s="1">
        <v>1887</v>
      </c>
      <c r="P193" s="1">
        <v>1163.6500000000001</v>
      </c>
      <c r="Q193" s="1" t="s">
        <v>27</v>
      </c>
      <c r="R193" s="1" t="s">
        <v>38</v>
      </c>
      <c r="S193" s="1" t="s">
        <v>29</v>
      </c>
    </row>
    <row r="194" spans="1:19" x14ac:dyDescent="0.3">
      <c r="A194" s="1" t="s">
        <v>293</v>
      </c>
      <c r="B194" s="2">
        <v>46283</v>
      </c>
      <c r="C194" s="1" t="s">
        <v>82</v>
      </c>
      <c r="D194" s="1" t="s">
        <v>83</v>
      </c>
      <c r="E194" s="1" t="s">
        <v>33</v>
      </c>
      <c r="F194" s="1" t="s">
        <v>56</v>
      </c>
      <c r="G194" s="1" t="s">
        <v>57</v>
      </c>
      <c r="H194" s="1" t="s">
        <v>58</v>
      </c>
      <c r="I194" s="1">
        <v>137</v>
      </c>
      <c r="J194" s="1" t="s">
        <v>37</v>
      </c>
      <c r="K194" s="1">
        <v>35</v>
      </c>
      <c r="L194" s="1">
        <v>0</v>
      </c>
      <c r="M194" s="1">
        <v>4795</v>
      </c>
      <c r="N194" s="1">
        <v>4795</v>
      </c>
      <c r="O194" s="1">
        <v>2740</v>
      </c>
      <c r="P194" s="1">
        <v>2055</v>
      </c>
      <c r="Q194" s="1" t="s">
        <v>45</v>
      </c>
      <c r="R194" s="1" t="s">
        <v>38</v>
      </c>
      <c r="S194" s="1" t="s">
        <v>63</v>
      </c>
    </row>
    <row r="195" spans="1:19" x14ac:dyDescent="0.3">
      <c r="A195" s="1" t="s">
        <v>294</v>
      </c>
      <c r="B195" s="2">
        <v>46285</v>
      </c>
      <c r="C195" s="1" t="s">
        <v>106</v>
      </c>
      <c r="D195" s="1" t="s">
        <v>107</v>
      </c>
      <c r="E195" s="1" t="s">
        <v>108</v>
      </c>
      <c r="F195" s="1" t="s">
        <v>142</v>
      </c>
      <c r="G195" s="1" t="s">
        <v>143</v>
      </c>
      <c r="H195" s="1" t="s">
        <v>144</v>
      </c>
      <c r="I195" s="1">
        <v>207</v>
      </c>
      <c r="J195" s="1" t="s">
        <v>37</v>
      </c>
      <c r="K195" s="1">
        <v>15</v>
      </c>
      <c r="L195" s="1">
        <v>0</v>
      </c>
      <c r="M195" s="1">
        <v>3105</v>
      </c>
      <c r="N195" s="1">
        <v>3105</v>
      </c>
      <c r="O195" s="1">
        <v>1759.5</v>
      </c>
      <c r="P195" s="1">
        <v>1345.5</v>
      </c>
      <c r="Q195" s="1" t="s">
        <v>27</v>
      </c>
      <c r="R195" s="1" t="s">
        <v>67</v>
      </c>
      <c r="S195" s="1" t="s">
        <v>68</v>
      </c>
    </row>
    <row r="196" spans="1:19" x14ac:dyDescent="0.3">
      <c r="A196" s="1" t="s">
        <v>295</v>
      </c>
      <c r="B196" s="2">
        <v>46276</v>
      </c>
      <c r="C196" s="1" t="s">
        <v>106</v>
      </c>
      <c r="D196" s="1" t="s">
        <v>107</v>
      </c>
      <c r="E196" s="1" t="s">
        <v>108</v>
      </c>
      <c r="F196" s="1" t="s">
        <v>92</v>
      </c>
      <c r="G196" s="1" t="s">
        <v>93</v>
      </c>
      <c r="H196" s="1" t="s">
        <v>94</v>
      </c>
      <c r="I196" s="1">
        <v>192</v>
      </c>
      <c r="J196" s="1" t="s">
        <v>37</v>
      </c>
      <c r="K196" s="1">
        <v>15</v>
      </c>
      <c r="L196" s="1">
        <v>0.05</v>
      </c>
      <c r="M196" s="1">
        <v>2880</v>
      </c>
      <c r="N196" s="1">
        <v>2736</v>
      </c>
      <c r="O196" s="1">
        <v>1632</v>
      </c>
      <c r="P196" s="1">
        <v>1104</v>
      </c>
      <c r="Q196" s="1" t="s">
        <v>45</v>
      </c>
      <c r="R196" s="1" t="s">
        <v>38</v>
      </c>
      <c r="S196" s="1" t="s">
        <v>29</v>
      </c>
    </row>
    <row r="197" spans="1:19" x14ac:dyDescent="0.3">
      <c r="A197" s="1" t="s">
        <v>296</v>
      </c>
      <c r="B197" s="2">
        <v>46293</v>
      </c>
      <c r="C197" s="1" t="s">
        <v>88</v>
      </c>
      <c r="D197" s="1" t="s">
        <v>89</v>
      </c>
      <c r="E197" s="1" t="s">
        <v>62</v>
      </c>
      <c r="F197" s="1" t="s">
        <v>78</v>
      </c>
      <c r="G197" s="1" t="s">
        <v>79</v>
      </c>
      <c r="H197" s="1" t="s">
        <v>80</v>
      </c>
      <c r="I197" s="1">
        <v>155</v>
      </c>
      <c r="J197" s="1" t="s">
        <v>37</v>
      </c>
      <c r="K197" s="1">
        <v>20</v>
      </c>
      <c r="L197" s="1">
        <v>0</v>
      </c>
      <c r="M197" s="1">
        <v>3100</v>
      </c>
      <c r="N197" s="1">
        <v>3100</v>
      </c>
      <c r="O197" s="1">
        <v>1705</v>
      </c>
      <c r="P197" s="1">
        <v>1395</v>
      </c>
      <c r="Q197" s="1" t="s">
        <v>45</v>
      </c>
      <c r="R197" s="1" t="s">
        <v>38</v>
      </c>
      <c r="S197" s="1" t="s">
        <v>29</v>
      </c>
    </row>
    <row r="198" spans="1:19" x14ac:dyDescent="0.3">
      <c r="A198" s="1" t="s">
        <v>297</v>
      </c>
      <c r="B198" s="2">
        <v>46283</v>
      </c>
      <c r="C198" s="1" t="s">
        <v>82</v>
      </c>
      <c r="D198" s="1" t="s">
        <v>83</v>
      </c>
      <c r="E198" s="1" t="s">
        <v>33</v>
      </c>
      <c r="F198" s="1" t="s">
        <v>50</v>
      </c>
      <c r="G198" s="1" t="s">
        <v>51</v>
      </c>
      <c r="H198" s="1" t="s">
        <v>52</v>
      </c>
      <c r="I198" s="1">
        <v>107</v>
      </c>
      <c r="J198" s="1" t="s">
        <v>37</v>
      </c>
      <c r="K198" s="1">
        <v>35</v>
      </c>
      <c r="L198" s="1">
        <v>0</v>
      </c>
      <c r="M198" s="1">
        <v>3745</v>
      </c>
      <c r="N198" s="1">
        <v>3745</v>
      </c>
      <c r="O198" s="1">
        <v>2140</v>
      </c>
      <c r="P198" s="1">
        <v>1605</v>
      </c>
      <c r="Q198" s="1" t="s">
        <v>27</v>
      </c>
      <c r="R198" s="1" t="s">
        <v>38</v>
      </c>
      <c r="S198" s="1" t="s">
        <v>68</v>
      </c>
    </row>
    <row r="199" spans="1:19" x14ac:dyDescent="0.3">
      <c r="A199" s="1" t="s">
        <v>298</v>
      </c>
      <c r="B199" s="2">
        <v>46292</v>
      </c>
      <c r="C199" s="1" t="s">
        <v>106</v>
      </c>
      <c r="D199" s="1" t="s">
        <v>107</v>
      </c>
      <c r="E199" s="1" t="s">
        <v>108</v>
      </c>
      <c r="F199" s="1" t="s">
        <v>116</v>
      </c>
      <c r="G199" s="1" t="s">
        <v>117</v>
      </c>
      <c r="H199" s="1" t="s">
        <v>118</v>
      </c>
      <c r="I199" s="1">
        <v>30</v>
      </c>
      <c r="J199" s="1" t="s">
        <v>37</v>
      </c>
      <c r="K199" s="1">
        <v>15</v>
      </c>
      <c r="L199" s="1">
        <v>0.02</v>
      </c>
      <c r="M199" s="1">
        <v>450</v>
      </c>
      <c r="N199" s="1">
        <v>441</v>
      </c>
      <c r="O199" s="1">
        <v>255</v>
      </c>
      <c r="P199" s="1">
        <v>186</v>
      </c>
      <c r="Q199" s="1" t="s">
        <v>27</v>
      </c>
      <c r="R199" s="1" t="s">
        <v>28</v>
      </c>
      <c r="S199" s="1" t="s">
        <v>63</v>
      </c>
    </row>
    <row r="200" spans="1:19" x14ac:dyDescent="0.3">
      <c r="A200" s="1" t="s">
        <v>299</v>
      </c>
      <c r="B200" s="2">
        <v>46280</v>
      </c>
      <c r="C200" s="1" t="s">
        <v>106</v>
      </c>
      <c r="D200" s="1" t="s">
        <v>107</v>
      </c>
      <c r="E200" s="1" t="s">
        <v>108</v>
      </c>
      <c r="F200" s="1" t="s">
        <v>92</v>
      </c>
      <c r="G200" s="1" t="s">
        <v>93</v>
      </c>
      <c r="H200" s="1" t="s">
        <v>94</v>
      </c>
      <c r="I200" s="1">
        <v>17</v>
      </c>
      <c r="J200" s="1" t="s">
        <v>37</v>
      </c>
      <c r="K200" s="1">
        <v>15</v>
      </c>
      <c r="L200" s="1">
        <v>0.03</v>
      </c>
      <c r="M200" s="1">
        <v>255</v>
      </c>
      <c r="N200" s="1">
        <v>247.35</v>
      </c>
      <c r="O200" s="1">
        <v>144.5</v>
      </c>
      <c r="P200" s="1">
        <v>102.85</v>
      </c>
      <c r="Q200" s="1" t="s">
        <v>73</v>
      </c>
      <c r="R200" s="1" t="s">
        <v>28</v>
      </c>
      <c r="S200" s="1" t="s">
        <v>29</v>
      </c>
    </row>
    <row r="201" spans="1:19" x14ac:dyDescent="0.3">
      <c r="A201" s="1" t="s">
        <v>300</v>
      </c>
      <c r="B201" s="2">
        <v>46268</v>
      </c>
      <c r="C201" s="1" t="s">
        <v>76</v>
      </c>
      <c r="D201" s="1" t="s">
        <v>77</v>
      </c>
      <c r="E201" s="1" t="s">
        <v>33</v>
      </c>
      <c r="F201" s="1" t="s">
        <v>56</v>
      </c>
      <c r="G201" s="1" t="s">
        <v>57</v>
      </c>
      <c r="H201" s="1" t="s">
        <v>58</v>
      </c>
      <c r="I201" s="1">
        <v>184</v>
      </c>
      <c r="J201" s="1" t="s">
        <v>37</v>
      </c>
      <c r="K201" s="1">
        <v>20</v>
      </c>
      <c r="L201" s="1">
        <v>0</v>
      </c>
      <c r="M201" s="1">
        <v>3680</v>
      </c>
      <c r="N201" s="1">
        <v>3680</v>
      </c>
      <c r="O201" s="1">
        <v>2171.1999999999998</v>
      </c>
      <c r="P201" s="1">
        <v>1508.8</v>
      </c>
      <c r="Q201" s="1" t="s">
        <v>45</v>
      </c>
      <c r="R201" s="1" t="s">
        <v>38</v>
      </c>
      <c r="S201" s="1" t="s">
        <v>29</v>
      </c>
    </row>
    <row r="202" spans="1:19" x14ac:dyDescent="0.3">
      <c r="A202" s="1" t="s">
        <v>301</v>
      </c>
      <c r="B202" s="2">
        <v>46266</v>
      </c>
      <c r="C202" s="1" t="s">
        <v>20</v>
      </c>
      <c r="D202" s="1" t="s">
        <v>21</v>
      </c>
      <c r="E202" s="1" t="s">
        <v>22</v>
      </c>
      <c r="F202" s="1" t="s">
        <v>70</v>
      </c>
      <c r="G202" s="1" t="s">
        <v>71</v>
      </c>
      <c r="H202" s="1" t="s">
        <v>72</v>
      </c>
      <c r="I202" s="1">
        <v>102</v>
      </c>
      <c r="J202" s="1" t="s">
        <v>26</v>
      </c>
      <c r="K202" s="1">
        <v>85</v>
      </c>
      <c r="L202" s="1">
        <v>0.03</v>
      </c>
      <c r="M202" s="1">
        <v>8670</v>
      </c>
      <c r="N202" s="1">
        <v>8409.9</v>
      </c>
      <c r="O202" s="1">
        <v>5202</v>
      </c>
      <c r="P202" s="1">
        <v>3207.9</v>
      </c>
      <c r="Q202" s="1" t="s">
        <v>27</v>
      </c>
      <c r="R202" s="1" t="s">
        <v>38</v>
      </c>
      <c r="S202" s="1" t="s">
        <v>29</v>
      </c>
    </row>
    <row r="203" spans="1:19" x14ac:dyDescent="0.3">
      <c r="A203" s="1" t="s">
        <v>302</v>
      </c>
      <c r="B203" s="2">
        <v>46276</v>
      </c>
      <c r="C203" s="1" t="s">
        <v>82</v>
      </c>
      <c r="D203" s="1" t="s">
        <v>83</v>
      </c>
      <c r="E203" s="1" t="s">
        <v>33</v>
      </c>
      <c r="F203" s="1" t="s">
        <v>78</v>
      </c>
      <c r="G203" s="1" t="s">
        <v>79</v>
      </c>
      <c r="H203" s="1" t="s">
        <v>80</v>
      </c>
      <c r="I203" s="1">
        <v>85</v>
      </c>
      <c r="J203" s="1" t="s">
        <v>37</v>
      </c>
      <c r="K203" s="1">
        <v>35</v>
      </c>
      <c r="L203" s="1">
        <v>0.02</v>
      </c>
      <c r="M203" s="1">
        <v>2975</v>
      </c>
      <c r="N203" s="1">
        <v>2915.5</v>
      </c>
      <c r="O203" s="1">
        <v>1700</v>
      </c>
      <c r="P203" s="1">
        <v>1215.5</v>
      </c>
      <c r="Q203" s="1" t="s">
        <v>73</v>
      </c>
      <c r="R203" s="1" t="s">
        <v>38</v>
      </c>
      <c r="S203" s="1" t="s">
        <v>29</v>
      </c>
    </row>
    <row r="204" spans="1:19" x14ac:dyDescent="0.3">
      <c r="A204" s="1" t="s">
        <v>303</v>
      </c>
      <c r="B204" s="2">
        <v>46279</v>
      </c>
      <c r="C204" s="1" t="s">
        <v>47</v>
      </c>
      <c r="D204" s="1" t="s">
        <v>48</v>
      </c>
      <c r="E204" s="1" t="s">
        <v>49</v>
      </c>
      <c r="F204" s="1" t="s">
        <v>70</v>
      </c>
      <c r="G204" s="1" t="s">
        <v>71</v>
      </c>
      <c r="H204" s="1" t="s">
        <v>72</v>
      </c>
      <c r="I204" s="1">
        <v>28</v>
      </c>
      <c r="J204" s="1" t="s">
        <v>53</v>
      </c>
      <c r="K204" s="1">
        <v>25</v>
      </c>
      <c r="L204" s="1">
        <v>0</v>
      </c>
      <c r="M204" s="1">
        <v>700</v>
      </c>
      <c r="N204" s="1">
        <v>700</v>
      </c>
      <c r="O204" s="1">
        <v>392</v>
      </c>
      <c r="P204" s="1">
        <v>308</v>
      </c>
      <c r="Q204" s="1" t="s">
        <v>45</v>
      </c>
      <c r="R204" s="1" t="s">
        <v>38</v>
      </c>
      <c r="S204" s="1" t="s">
        <v>68</v>
      </c>
    </row>
    <row r="205" spans="1:19" x14ac:dyDescent="0.3">
      <c r="A205" s="1" t="s">
        <v>304</v>
      </c>
      <c r="B205" s="2">
        <v>46290</v>
      </c>
      <c r="C205" s="1" t="s">
        <v>106</v>
      </c>
      <c r="D205" s="1" t="s">
        <v>107</v>
      </c>
      <c r="E205" s="1" t="s">
        <v>108</v>
      </c>
      <c r="F205" s="1" t="s">
        <v>142</v>
      </c>
      <c r="G205" s="1" t="s">
        <v>143</v>
      </c>
      <c r="H205" s="1" t="s">
        <v>144</v>
      </c>
      <c r="I205" s="1">
        <v>166</v>
      </c>
      <c r="J205" s="1" t="s">
        <v>37</v>
      </c>
      <c r="K205" s="1">
        <v>15</v>
      </c>
      <c r="L205" s="1">
        <v>0</v>
      </c>
      <c r="M205" s="1">
        <v>2490</v>
      </c>
      <c r="N205" s="1">
        <v>2490</v>
      </c>
      <c r="O205" s="1">
        <v>1411</v>
      </c>
      <c r="P205" s="1">
        <v>1079</v>
      </c>
      <c r="Q205" s="1" t="s">
        <v>54</v>
      </c>
      <c r="R205" s="1" t="s">
        <v>67</v>
      </c>
      <c r="S205" s="1" t="s">
        <v>68</v>
      </c>
    </row>
    <row r="206" spans="1:19" x14ac:dyDescent="0.3">
      <c r="A206" s="1" t="s">
        <v>305</v>
      </c>
      <c r="B206" s="2">
        <v>46292</v>
      </c>
      <c r="C206" s="1" t="s">
        <v>82</v>
      </c>
      <c r="D206" s="1" t="s">
        <v>83</v>
      </c>
      <c r="E206" s="1" t="s">
        <v>33</v>
      </c>
      <c r="F206" s="1" t="s">
        <v>97</v>
      </c>
      <c r="G206" s="1" t="s">
        <v>98</v>
      </c>
      <c r="H206" s="1" t="s">
        <v>94</v>
      </c>
      <c r="I206" s="1">
        <v>208</v>
      </c>
      <c r="J206" s="1" t="s">
        <v>37</v>
      </c>
      <c r="K206" s="1">
        <v>35</v>
      </c>
      <c r="L206" s="1">
        <v>0</v>
      </c>
      <c r="M206" s="1">
        <v>7280</v>
      </c>
      <c r="N206" s="1">
        <v>7280</v>
      </c>
      <c r="O206" s="1">
        <v>4160</v>
      </c>
      <c r="P206" s="1">
        <v>3120</v>
      </c>
      <c r="Q206" s="1" t="s">
        <v>45</v>
      </c>
      <c r="R206" s="1" t="s">
        <v>67</v>
      </c>
      <c r="S206" s="1" t="s">
        <v>29</v>
      </c>
    </row>
    <row r="207" spans="1:19" x14ac:dyDescent="0.3">
      <c r="A207" s="1" t="s">
        <v>306</v>
      </c>
      <c r="B207" s="2">
        <v>46279</v>
      </c>
      <c r="C207" s="1" t="s">
        <v>31</v>
      </c>
      <c r="D207" s="1" t="s">
        <v>32</v>
      </c>
      <c r="E207" s="1" t="s">
        <v>33</v>
      </c>
      <c r="F207" s="1" t="s">
        <v>97</v>
      </c>
      <c r="G207" s="1" t="s">
        <v>98</v>
      </c>
      <c r="H207" s="1" t="s">
        <v>94</v>
      </c>
      <c r="I207" s="1">
        <v>147</v>
      </c>
      <c r="J207" s="1" t="s">
        <v>37</v>
      </c>
      <c r="K207" s="1">
        <v>50</v>
      </c>
      <c r="L207" s="1">
        <v>0</v>
      </c>
      <c r="M207" s="1">
        <v>7350</v>
      </c>
      <c r="N207" s="1">
        <v>7350</v>
      </c>
      <c r="O207" s="1">
        <v>4263</v>
      </c>
      <c r="P207" s="1">
        <v>3087</v>
      </c>
      <c r="Q207" s="1" t="s">
        <v>54</v>
      </c>
      <c r="R207" s="1" t="s">
        <v>38</v>
      </c>
      <c r="S207" s="1" t="s">
        <v>68</v>
      </c>
    </row>
    <row r="208" spans="1:19" x14ac:dyDescent="0.3">
      <c r="A208" s="1" t="s">
        <v>307</v>
      </c>
      <c r="B208" s="2">
        <v>46266</v>
      </c>
      <c r="C208" s="1" t="s">
        <v>106</v>
      </c>
      <c r="D208" s="1" t="s">
        <v>107</v>
      </c>
      <c r="E208" s="1" t="s">
        <v>108</v>
      </c>
      <c r="F208" s="1" t="s">
        <v>42</v>
      </c>
      <c r="G208" s="1" t="s">
        <v>43</v>
      </c>
      <c r="H208" s="1" t="s">
        <v>44</v>
      </c>
      <c r="I208" s="1">
        <v>102</v>
      </c>
      <c r="J208" s="1" t="s">
        <v>37</v>
      </c>
      <c r="K208" s="1">
        <v>15</v>
      </c>
      <c r="L208" s="1">
        <v>0.03</v>
      </c>
      <c r="M208" s="1">
        <v>1530</v>
      </c>
      <c r="N208" s="1">
        <v>1484.1</v>
      </c>
      <c r="O208" s="1">
        <v>867</v>
      </c>
      <c r="P208" s="1">
        <v>617.1</v>
      </c>
      <c r="Q208" s="1" t="s">
        <v>27</v>
      </c>
      <c r="R208" s="1" t="s">
        <v>38</v>
      </c>
      <c r="S208" s="1" t="s">
        <v>29</v>
      </c>
    </row>
    <row r="209" spans="1:19" x14ac:dyDescent="0.3">
      <c r="A209" s="1" t="s">
        <v>308</v>
      </c>
      <c r="B209" s="2">
        <v>46268</v>
      </c>
      <c r="C209" s="1" t="s">
        <v>65</v>
      </c>
      <c r="D209" s="1" t="s">
        <v>66</v>
      </c>
      <c r="E209" s="1" t="s">
        <v>49</v>
      </c>
      <c r="F209" s="1" t="s">
        <v>70</v>
      </c>
      <c r="G209" s="1" t="s">
        <v>71</v>
      </c>
      <c r="H209" s="1" t="s">
        <v>72</v>
      </c>
      <c r="I209" s="1">
        <v>53</v>
      </c>
      <c r="J209" s="1" t="s">
        <v>53</v>
      </c>
      <c r="K209" s="1">
        <v>25</v>
      </c>
      <c r="L209" s="1">
        <v>0</v>
      </c>
      <c r="M209" s="1">
        <v>1325</v>
      </c>
      <c r="N209" s="1">
        <v>1325</v>
      </c>
      <c r="O209" s="1">
        <v>752.6</v>
      </c>
      <c r="P209" s="1">
        <v>572.4</v>
      </c>
      <c r="Q209" s="1" t="s">
        <v>27</v>
      </c>
      <c r="R209" s="1" t="s">
        <v>38</v>
      </c>
      <c r="S209" s="1" t="s">
        <v>68</v>
      </c>
    </row>
    <row r="210" spans="1:19" x14ac:dyDescent="0.3">
      <c r="A210" s="1" t="s">
        <v>309</v>
      </c>
      <c r="B210" s="2">
        <v>46280</v>
      </c>
      <c r="C210" s="1" t="s">
        <v>88</v>
      </c>
      <c r="D210" s="1" t="s">
        <v>89</v>
      </c>
      <c r="E210" s="1" t="s">
        <v>62</v>
      </c>
      <c r="F210" s="1" t="s">
        <v>92</v>
      </c>
      <c r="G210" s="1" t="s">
        <v>93</v>
      </c>
      <c r="H210" s="1" t="s">
        <v>94</v>
      </c>
      <c r="I210" s="1">
        <v>84</v>
      </c>
      <c r="J210" s="1" t="s">
        <v>37</v>
      </c>
      <c r="K210" s="1">
        <v>20</v>
      </c>
      <c r="L210" s="1">
        <v>0.03</v>
      </c>
      <c r="M210" s="1">
        <v>1680</v>
      </c>
      <c r="N210" s="1">
        <v>1629.6</v>
      </c>
      <c r="O210" s="1">
        <v>924</v>
      </c>
      <c r="P210" s="1">
        <v>705.6</v>
      </c>
      <c r="Q210" s="1" t="s">
        <v>45</v>
      </c>
      <c r="R210" s="1" t="s">
        <v>38</v>
      </c>
      <c r="S210" s="1" t="s">
        <v>68</v>
      </c>
    </row>
    <row r="211" spans="1:19" x14ac:dyDescent="0.3">
      <c r="A211" s="1" t="s">
        <v>310</v>
      </c>
      <c r="B211" s="2">
        <v>46287</v>
      </c>
      <c r="C211" s="1" t="s">
        <v>82</v>
      </c>
      <c r="D211" s="1" t="s">
        <v>83</v>
      </c>
      <c r="E211" s="1" t="s">
        <v>33</v>
      </c>
      <c r="F211" s="1" t="s">
        <v>56</v>
      </c>
      <c r="G211" s="1" t="s">
        <v>57</v>
      </c>
      <c r="H211" s="1" t="s">
        <v>58</v>
      </c>
      <c r="I211" s="1">
        <v>26</v>
      </c>
      <c r="J211" s="1" t="s">
        <v>37</v>
      </c>
      <c r="K211" s="1">
        <v>35</v>
      </c>
      <c r="L211" s="1">
        <v>0.03</v>
      </c>
      <c r="M211" s="1">
        <v>910</v>
      </c>
      <c r="N211" s="1">
        <v>882.7</v>
      </c>
      <c r="O211" s="1">
        <v>520</v>
      </c>
      <c r="P211" s="1">
        <v>362.7</v>
      </c>
      <c r="Q211" s="1" t="s">
        <v>45</v>
      </c>
      <c r="R211" s="1" t="s">
        <v>28</v>
      </c>
      <c r="S211" s="1" t="s">
        <v>29</v>
      </c>
    </row>
    <row r="212" spans="1:19" x14ac:dyDescent="0.3">
      <c r="A212" s="1" t="s">
        <v>311</v>
      </c>
      <c r="B212" s="2">
        <v>46282</v>
      </c>
      <c r="C212" s="1" t="s">
        <v>76</v>
      </c>
      <c r="D212" s="1" t="s">
        <v>77</v>
      </c>
      <c r="E212" s="1" t="s">
        <v>33</v>
      </c>
      <c r="F212" s="1" t="s">
        <v>50</v>
      </c>
      <c r="G212" s="1" t="s">
        <v>51</v>
      </c>
      <c r="H212" s="1" t="s">
        <v>52</v>
      </c>
      <c r="I212" s="1">
        <v>216</v>
      </c>
      <c r="J212" s="1" t="s">
        <v>37</v>
      </c>
      <c r="K212" s="1">
        <v>20</v>
      </c>
      <c r="L212" s="1">
        <v>0.05</v>
      </c>
      <c r="M212" s="1">
        <v>4320</v>
      </c>
      <c r="N212" s="1">
        <v>4104</v>
      </c>
      <c r="O212" s="1">
        <v>2548.8000000000002</v>
      </c>
      <c r="P212" s="1">
        <v>1555.2</v>
      </c>
      <c r="Q212" s="1" t="s">
        <v>27</v>
      </c>
      <c r="R212" s="1" t="s">
        <v>38</v>
      </c>
      <c r="S212" s="1" t="s">
        <v>29</v>
      </c>
    </row>
    <row r="213" spans="1:19" x14ac:dyDescent="0.3">
      <c r="A213" s="1" t="s">
        <v>312</v>
      </c>
      <c r="B213" s="2">
        <v>46290</v>
      </c>
      <c r="C213" s="1" t="s">
        <v>60</v>
      </c>
      <c r="D213" s="1" t="s">
        <v>61</v>
      </c>
      <c r="E213" s="1" t="s">
        <v>62</v>
      </c>
      <c r="F213" s="1" t="s">
        <v>78</v>
      </c>
      <c r="G213" s="1" t="s">
        <v>79</v>
      </c>
      <c r="H213" s="1" t="s">
        <v>80</v>
      </c>
      <c r="I213" s="1">
        <v>215</v>
      </c>
      <c r="J213" s="1" t="s">
        <v>37</v>
      </c>
      <c r="K213" s="1">
        <v>40</v>
      </c>
      <c r="L213" s="1">
        <v>0</v>
      </c>
      <c r="M213" s="1">
        <v>8600</v>
      </c>
      <c r="N213" s="1">
        <v>8600</v>
      </c>
      <c r="O213" s="1">
        <v>4945</v>
      </c>
      <c r="P213" s="1">
        <v>3655</v>
      </c>
      <c r="Q213" s="1" t="s">
        <v>73</v>
      </c>
      <c r="R213" s="1" t="s">
        <v>38</v>
      </c>
      <c r="S213" s="1" t="s">
        <v>63</v>
      </c>
    </row>
    <row r="214" spans="1:19" x14ac:dyDescent="0.3">
      <c r="A214" s="1" t="s">
        <v>313</v>
      </c>
      <c r="B214" s="2">
        <v>46287</v>
      </c>
      <c r="C214" s="1" t="s">
        <v>31</v>
      </c>
      <c r="D214" s="1" t="s">
        <v>32</v>
      </c>
      <c r="E214" s="1" t="s">
        <v>33</v>
      </c>
      <c r="F214" s="1" t="s">
        <v>127</v>
      </c>
      <c r="G214" s="1" t="s">
        <v>128</v>
      </c>
      <c r="H214" s="1" t="s">
        <v>129</v>
      </c>
      <c r="I214" s="1">
        <v>190</v>
      </c>
      <c r="J214" s="1" t="s">
        <v>37</v>
      </c>
      <c r="K214" s="1">
        <v>50</v>
      </c>
      <c r="L214" s="1">
        <v>0.05</v>
      </c>
      <c r="M214" s="1">
        <v>9500</v>
      </c>
      <c r="N214" s="1">
        <v>9025</v>
      </c>
      <c r="O214" s="1">
        <v>5510</v>
      </c>
      <c r="P214" s="1">
        <v>3515</v>
      </c>
      <c r="Q214" s="1" t="s">
        <v>54</v>
      </c>
      <c r="R214" s="1" t="s">
        <v>67</v>
      </c>
      <c r="S214" s="1" t="s">
        <v>63</v>
      </c>
    </row>
    <row r="215" spans="1:19" x14ac:dyDescent="0.3">
      <c r="A215" s="1" t="s">
        <v>314</v>
      </c>
      <c r="B215" s="2">
        <v>46276</v>
      </c>
      <c r="C215" s="1" t="s">
        <v>47</v>
      </c>
      <c r="D215" s="1" t="s">
        <v>48</v>
      </c>
      <c r="E215" s="1" t="s">
        <v>49</v>
      </c>
      <c r="F215" s="1" t="s">
        <v>50</v>
      </c>
      <c r="G215" s="1" t="s">
        <v>51</v>
      </c>
      <c r="H215" s="1" t="s">
        <v>52</v>
      </c>
      <c r="I215" s="1">
        <v>21</v>
      </c>
      <c r="J215" s="1" t="s">
        <v>53</v>
      </c>
      <c r="K215" s="1">
        <v>25</v>
      </c>
      <c r="L215" s="1">
        <v>0</v>
      </c>
      <c r="M215" s="1">
        <v>525</v>
      </c>
      <c r="N215" s="1">
        <v>525</v>
      </c>
      <c r="O215" s="1">
        <v>294</v>
      </c>
      <c r="P215" s="1">
        <v>231</v>
      </c>
      <c r="Q215" s="1" t="s">
        <v>45</v>
      </c>
      <c r="R215" s="1" t="s">
        <v>38</v>
      </c>
      <c r="S215" s="1" t="s">
        <v>29</v>
      </c>
    </row>
    <row r="216" spans="1:19" x14ac:dyDescent="0.3">
      <c r="A216" s="1" t="s">
        <v>315</v>
      </c>
      <c r="B216" s="2">
        <v>46286</v>
      </c>
      <c r="C216" s="1" t="s">
        <v>88</v>
      </c>
      <c r="D216" s="1" t="s">
        <v>89</v>
      </c>
      <c r="E216" s="1" t="s">
        <v>62</v>
      </c>
      <c r="F216" s="1" t="s">
        <v>112</v>
      </c>
      <c r="G216" s="1" t="s">
        <v>113</v>
      </c>
      <c r="H216" s="1" t="s">
        <v>114</v>
      </c>
      <c r="I216" s="1">
        <v>178</v>
      </c>
      <c r="J216" s="1" t="s">
        <v>37</v>
      </c>
      <c r="K216" s="1">
        <v>20</v>
      </c>
      <c r="L216" s="1">
        <v>0.05</v>
      </c>
      <c r="M216" s="1">
        <v>3560</v>
      </c>
      <c r="N216" s="1">
        <v>3382</v>
      </c>
      <c r="O216" s="1">
        <v>1958</v>
      </c>
      <c r="P216" s="1">
        <v>1424</v>
      </c>
      <c r="Q216" s="1" t="s">
        <v>45</v>
      </c>
      <c r="R216" s="1" t="s">
        <v>38</v>
      </c>
      <c r="S216" s="1" t="s">
        <v>68</v>
      </c>
    </row>
    <row r="217" spans="1:19" x14ac:dyDescent="0.3">
      <c r="A217" s="1" t="s">
        <v>316</v>
      </c>
      <c r="B217" s="2">
        <v>46288</v>
      </c>
      <c r="C217" s="1" t="s">
        <v>40</v>
      </c>
      <c r="D217" s="1" t="s">
        <v>41</v>
      </c>
      <c r="E217" s="1" t="s">
        <v>33</v>
      </c>
      <c r="F217" s="1" t="s">
        <v>56</v>
      </c>
      <c r="G217" s="1" t="s">
        <v>57</v>
      </c>
      <c r="H217" s="1" t="s">
        <v>58</v>
      </c>
      <c r="I217" s="1">
        <v>105</v>
      </c>
      <c r="J217" s="1" t="s">
        <v>37</v>
      </c>
      <c r="K217" s="1">
        <v>20</v>
      </c>
      <c r="L217" s="1">
        <v>0</v>
      </c>
      <c r="M217" s="1">
        <v>2100</v>
      </c>
      <c r="N217" s="1">
        <v>2100</v>
      </c>
      <c r="O217" s="1">
        <v>1207.5</v>
      </c>
      <c r="P217" s="1">
        <v>892.5</v>
      </c>
      <c r="Q217" s="1" t="s">
        <v>54</v>
      </c>
      <c r="R217" s="1" t="s">
        <v>38</v>
      </c>
      <c r="S217" s="1" t="s">
        <v>63</v>
      </c>
    </row>
    <row r="218" spans="1:19" x14ac:dyDescent="0.3">
      <c r="A218" s="1" t="s">
        <v>317</v>
      </c>
      <c r="B218" s="2">
        <v>46287</v>
      </c>
      <c r="C218" s="1" t="s">
        <v>31</v>
      </c>
      <c r="D218" s="1" t="s">
        <v>32</v>
      </c>
      <c r="E218" s="1" t="s">
        <v>33</v>
      </c>
      <c r="F218" s="1" t="s">
        <v>84</v>
      </c>
      <c r="G218" s="1" t="s">
        <v>85</v>
      </c>
      <c r="H218" s="1" t="s">
        <v>86</v>
      </c>
      <c r="I218" s="1">
        <v>32</v>
      </c>
      <c r="J218" s="1" t="s">
        <v>37</v>
      </c>
      <c r="K218" s="1">
        <v>50</v>
      </c>
      <c r="L218" s="1">
        <v>0.03</v>
      </c>
      <c r="M218" s="1">
        <v>1600</v>
      </c>
      <c r="N218" s="1">
        <v>1552</v>
      </c>
      <c r="O218" s="1">
        <v>928</v>
      </c>
      <c r="P218" s="1">
        <v>624</v>
      </c>
      <c r="Q218" s="1" t="s">
        <v>45</v>
      </c>
      <c r="R218" s="1" t="s">
        <v>38</v>
      </c>
      <c r="S218" s="1" t="s">
        <v>68</v>
      </c>
    </row>
    <row r="219" spans="1:19" x14ac:dyDescent="0.3">
      <c r="A219" s="1" t="s">
        <v>318</v>
      </c>
      <c r="B219" s="2">
        <v>46271</v>
      </c>
      <c r="C219" s="1" t="s">
        <v>76</v>
      </c>
      <c r="D219" s="1" t="s">
        <v>77</v>
      </c>
      <c r="E219" s="1" t="s">
        <v>33</v>
      </c>
      <c r="F219" s="1" t="s">
        <v>70</v>
      </c>
      <c r="G219" s="1" t="s">
        <v>71</v>
      </c>
      <c r="H219" s="1" t="s">
        <v>72</v>
      </c>
      <c r="I219" s="1">
        <v>220</v>
      </c>
      <c r="J219" s="1" t="s">
        <v>37</v>
      </c>
      <c r="K219" s="1">
        <v>20</v>
      </c>
      <c r="L219" s="1">
        <v>0.05</v>
      </c>
      <c r="M219" s="1">
        <v>4400</v>
      </c>
      <c r="N219" s="1">
        <v>4180</v>
      </c>
      <c r="O219" s="1">
        <v>2596</v>
      </c>
      <c r="P219" s="1">
        <v>1584</v>
      </c>
      <c r="Q219" s="1" t="s">
        <v>27</v>
      </c>
      <c r="R219" s="1" t="s">
        <v>38</v>
      </c>
      <c r="S219" s="1" t="s">
        <v>68</v>
      </c>
    </row>
    <row r="220" spans="1:19" x14ac:dyDescent="0.3">
      <c r="A220" s="1" t="s">
        <v>319</v>
      </c>
      <c r="B220" s="2">
        <v>46278</v>
      </c>
      <c r="C220" s="1" t="s">
        <v>40</v>
      </c>
      <c r="D220" s="1" t="s">
        <v>41</v>
      </c>
      <c r="E220" s="1" t="s">
        <v>33</v>
      </c>
      <c r="F220" s="1" t="s">
        <v>42</v>
      </c>
      <c r="G220" s="1" t="s">
        <v>43</v>
      </c>
      <c r="H220" s="1" t="s">
        <v>44</v>
      </c>
      <c r="I220" s="1">
        <v>22</v>
      </c>
      <c r="J220" s="1" t="s">
        <v>37</v>
      </c>
      <c r="K220" s="1">
        <v>20</v>
      </c>
      <c r="L220" s="1">
        <v>0.03</v>
      </c>
      <c r="M220" s="1">
        <v>440</v>
      </c>
      <c r="N220" s="1">
        <v>426.8</v>
      </c>
      <c r="O220" s="1">
        <v>253</v>
      </c>
      <c r="P220" s="1">
        <v>173.8</v>
      </c>
      <c r="Q220" s="1" t="s">
        <v>45</v>
      </c>
      <c r="R220" s="1" t="s">
        <v>38</v>
      </c>
      <c r="S220" s="1" t="s">
        <v>63</v>
      </c>
    </row>
    <row r="221" spans="1:19" x14ac:dyDescent="0.3">
      <c r="A221" s="1" t="s">
        <v>320</v>
      </c>
      <c r="B221" s="2">
        <v>46282</v>
      </c>
      <c r="C221" s="1" t="s">
        <v>60</v>
      </c>
      <c r="D221" s="1" t="s">
        <v>61</v>
      </c>
      <c r="E221" s="1" t="s">
        <v>62</v>
      </c>
      <c r="F221" s="1" t="s">
        <v>23</v>
      </c>
      <c r="G221" s="1" t="s">
        <v>24</v>
      </c>
      <c r="H221" s="1" t="s">
        <v>25</v>
      </c>
      <c r="I221" s="1">
        <v>212</v>
      </c>
      <c r="J221" s="1" t="s">
        <v>37</v>
      </c>
      <c r="K221" s="1">
        <v>40</v>
      </c>
      <c r="L221" s="1">
        <v>0</v>
      </c>
      <c r="M221" s="1">
        <v>8480</v>
      </c>
      <c r="N221" s="1">
        <v>8480</v>
      </c>
      <c r="O221" s="1">
        <v>4876</v>
      </c>
      <c r="P221" s="1">
        <v>3604</v>
      </c>
      <c r="Q221" s="1" t="s">
        <v>73</v>
      </c>
      <c r="R221" s="1" t="s">
        <v>38</v>
      </c>
      <c r="S221" s="1" t="s">
        <v>29</v>
      </c>
    </row>
    <row r="222" spans="1:19" x14ac:dyDescent="0.3">
      <c r="A222" s="1" t="s">
        <v>321</v>
      </c>
      <c r="B222" s="2">
        <v>46268</v>
      </c>
      <c r="C222" s="1" t="s">
        <v>20</v>
      </c>
      <c r="D222" s="1" t="s">
        <v>21</v>
      </c>
      <c r="E222" s="1" t="s">
        <v>22</v>
      </c>
      <c r="F222" s="1" t="s">
        <v>112</v>
      </c>
      <c r="G222" s="1" t="s">
        <v>113</v>
      </c>
      <c r="H222" s="1" t="s">
        <v>114</v>
      </c>
      <c r="I222" s="1">
        <v>168</v>
      </c>
      <c r="J222" s="1" t="s">
        <v>26</v>
      </c>
      <c r="K222" s="1">
        <v>85</v>
      </c>
      <c r="L222" s="1">
        <v>0.02</v>
      </c>
      <c r="M222" s="1">
        <v>14280</v>
      </c>
      <c r="N222" s="1">
        <v>13994.4</v>
      </c>
      <c r="O222" s="1">
        <v>8568</v>
      </c>
      <c r="P222" s="1">
        <v>5426.4</v>
      </c>
      <c r="Q222" s="1" t="s">
        <v>54</v>
      </c>
      <c r="R222" s="1" t="s">
        <v>67</v>
      </c>
      <c r="S222" s="1" t="s">
        <v>63</v>
      </c>
    </row>
    <row r="223" spans="1:19" x14ac:dyDescent="0.3">
      <c r="A223" s="1" t="s">
        <v>322</v>
      </c>
      <c r="B223" s="2">
        <v>46279</v>
      </c>
      <c r="C223" s="1" t="s">
        <v>88</v>
      </c>
      <c r="D223" s="1" t="s">
        <v>89</v>
      </c>
      <c r="E223" s="1" t="s">
        <v>62</v>
      </c>
      <c r="F223" s="1" t="s">
        <v>34</v>
      </c>
      <c r="G223" s="1" t="s">
        <v>35</v>
      </c>
      <c r="H223" s="1" t="s">
        <v>36</v>
      </c>
      <c r="I223" s="1">
        <v>174</v>
      </c>
      <c r="J223" s="1" t="s">
        <v>37</v>
      </c>
      <c r="K223" s="1">
        <v>20</v>
      </c>
      <c r="L223" s="1">
        <v>0.05</v>
      </c>
      <c r="M223" s="1">
        <v>3480</v>
      </c>
      <c r="N223" s="1">
        <v>3306</v>
      </c>
      <c r="O223" s="1">
        <v>1914</v>
      </c>
      <c r="P223" s="1">
        <v>1392</v>
      </c>
      <c r="Q223" s="1" t="s">
        <v>54</v>
      </c>
      <c r="R223" s="1" t="s">
        <v>67</v>
      </c>
      <c r="S223" s="1" t="s">
        <v>63</v>
      </c>
    </row>
    <row r="224" spans="1:19" x14ac:dyDescent="0.3">
      <c r="A224" s="1" t="s">
        <v>323</v>
      </c>
      <c r="B224" s="2">
        <v>46295</v>
      </c>
      <c r="C224" s="1" t="s">
        <v>82</v>
      </c>
      <c r="D224" s="1" t="s">
        <v>83</v>
      </c>
      <c r="E224" s="1" t="s">
        <v>33</v>
      </c>
      <c r="F224" s="1" t="s">
        <v>50</v>
      </c>
      <c r="G224" s="1" t="s">
        <v>51</v>
      </c>
      <c r="H224" s="1" t="s">
        <v>52</v>
      </c>
      <c r="I224" s="1">
        <v>152</v>
      </c>
      <c r="J224" s="1" t="s">
        <v>37</v>
      </c>
      <c r="K224" s="1">
        <v>35</v>
      </c>
      <c r="L224" s="1">
        <v>0</v>
      </c>
      <c r="M224" s="1">
        <v>5320</v>
      </c>
      <c r="N224" s="1">
        <v>5320</v>
      </c>
      <c r="O224" s="1">
        <v>3040</v>
      </c>
      <c r="P224" s="1">
        <v>2280</v>
      </c>
      <c r="Q224" s="1" t="s">
        <v>73</v>
      </c>
      <c r="R224" s="1" t="s">
        <v>67</v>
      </c>
      <c r="S224" s="1" t="s">
        <v>68</v>
      </c>
    </row>
    <row r="225" spans="1:19" x14ac:dyDescent="0.3">
      <c r="A225" s="1" t="s">
        <v>324</v>
      </c>
      <c r="B225" s="2">
        <v>46294</v>
      </c>
      <c r="C225" s="1" t="s">
        <v>88</v>
      </c>
      <c r="D225" s="1" t="s">
        <v>89</v>
      </c>
      <c r="E225" s="1" t="s">
        <v>62</v>
      </c>
      <c r="F225" s="1" t="s">
        <v>70</v>
      </c>
      <c r="G225" s="1" t="s">
        <v>71</v>
      </c>
      <c r="H225" s="1" t="s">
        <v>72</v>
      </c>
      <c r="I225" s="1">
        <v>150</v>
      </c>
      <c r="J225" s="1" t="s">
        <v>37</v>
      </c>
      <c r="K225" s="1">
        <v>20</v>
      </c>
      <c r="L225" s="1">
        <v>0</v>
      </c>
      <c r="M225" s="1">
        <v>3000</v>
      </c>
      <c r="N225" s="1">
        <v>3000</v>
      </c>
      <c r="O225" s="1">
        <v>1650</v>
      </c>
      <c r="P225" s="1">
        <v>1350</v>
      </c>
      <c r="Q225" s="1" t="s">
        <v>27</v>
      </c>
      <c r="R225" s="1" t="s">
        <v>38</v>
      </c>
      <c r="S225" s="1" t="s">
        <v>29</v>
      </c>
    </row>
    <row r="226" spans="1:19" x14ac:dyDescent="0.3">
      <c r="A226" s="1" t="s">
        <v>325</v>
      </c>
      <c r="B226" s="2">
        <v>46267</v>
      </c>
      <c r="C226" s="1" t="s">
        <v>82</v>
      </c>
      <c r="D226" s="1" t="s">
        <v>83</v>
      </c>
      <c r="E226" s="1" t="s">
        <v>33</v>
      </c>
      <c r="F226" s="1" t="s">
        <v>112</v>
      </c>
      <c r="G226" s="1" t="s">
        <v>113</v>
      </c>
      <c r="H226" s="1" t="s">
        <v>114</v>
      </c>
      <c r="I226" s="1">
        <v>114</v>
      </c>
      <c r="J226" s="1" t="s">
        <v>37</v>
      </c>
      <c r="K226" s="1">
        <v>35</v>
      </c>
      <c r="L226" s="1">
        <v>0</v>
      </c>
      <c r="M226" s="1">
        <v>3990</v>
      </c>
      <c r="N226" s="1">
        <v>3990</v>
      </c>
      <c r="O226" s="1">
        <v>2280</v>
      </c>
      <c r="P226" s="1">
        <v>1710</v>
      </c>
      <c r="Q226" s="1" t="s">
        <v>54</v>
      </c>
      <c r="R226" s="1" t="s">
        <v>28</v>
      </c>
      <c r="S226" s="1" t="s">
        <v>68</v>
      </c>
    </row>
    <row r="227" spans="1:19" x14ac:dyDescent="0.3">
      <c r="A227" s="1" t="s">
        <v>326</v>
      </c>
      <c r="B227" s="2">
        <v>46270</v>
      </c>
      <c r="C227" s="1" t="s">
        <v>76</v>
      </c>
      <c r="D227" s="1" t="s">
        <v>77</v>
      </c>
      <c r="E227" s="1" t="s">
        <v>33</v>
      </c>
      <c r="F227" s="1" t="s">
        <v>34</v>
      </c>
      <c r="G227" s="1" t="s">
        <v>35</v>
      </c>
      <c r="H227" s="1" t="s">
        <v>36</v>
      </c>
      <c r="I227" s="1">
        <v>52</v>
      </c>
      <c r="J227" s="1" t="s">
        <v>37</v>
      </c>
      <c r="K227" s="1">
        <v>20</v>
      </c>
      <c r="L227" s="1">
        <v>0</v>
      </c>
      <c r="M227" s="1">
        <v>1040</v>
      </c>
      <c r="N227" s="1">
        <v>1040</v>
      </c>
      <c r="O227" s="1">
        <v>613.6</v>
      </c>
      <c r="P227" s="1">
        <v>426.4</v>
      </c>
      <c r="Q227" s="1" t="s">
        <v>27</v>
      </c>
      <c r="R227" s="1" t="s">
        <v>38</v>
      </c>
      <c r="S227" s="1" t="s">
        <v>29</v>
      </c>
    </row>
    <row r="228" spans="1:19" x14ac:dyDescent="0.3">
      <c r="A228" s="1" t="s">
        <v>327</v>
      </c>
      <c r="B228" s="2">
        <v>46266</v>
      </c>
      <c r="C228" s="1" t="s">
        <v>76</v>
      </c>
      <c r="D228" s="1" t="s">
        <v>77</v>
      </c>
      <c r="E228" s="1" t="s">
        <v>33</v>
      </c>
      <c r="F228" s="1" t="s">
        <v>50</v>
      </c>
      <c r="G228" s="1" t="s">
        <v>51</v>
      </c>
      <c r="H228" s="1" t="s">
        <v>52</v>
      </c>
      <c r="I228" s="1">
        <v>204</v>
      </c>
      <c r="J228" s="1" t="s">
        <v>37</v>
      </c>
      <c r="K228" s="1">
        <v>20</v>
      </c>
      <c r="L228" s="1">
        <v>0.03</v>
      </c>
      <c r="M228" s="1">
        <v>4080</v>
      </c>
      <c r="N228" s="1">
        <v>3957.6</v>
      </c>
      <c r="O228" s="1">
        <v>2407.1999999999998</v>
      </c>
      <c r="P228" s="1">
        <v>1550.4</v>
      </c>
      <c r="Q228" s="1" t="s">
        <v>45</v>
      </c>
      <c r="R228" s="1" t="s">
        <v>38</v>
      </c>
      <c r="S228" s="1" t="s">
        <v>68</v>
      </c>
    </row>
    <row r="229" spans="1:19" x14ac:dyDescent="0.3">
      <c r="A229" s="1" t="s">
        <v>328</v>
      </c>
      <c r="B229" s="2">
        <v>46273</v>
      </c>
      <c r="C229" s="1" t="s">
        <v>60</v>
      </c>
      <c r="D229" s="1" t="s">
        <v>61</v>
      </c>
      <c r="E229" s="1" t="s">
        <v>62</v>
      </c>
      <c r="F229" s="1" t="s">
        <v>127</v>
      </c>
      <c r="G229" s="1" t="s">
        <v>128</v>
      </c>
      <c r="H229" s="1" t="s">
        <v>129</v>
      </c>
      <c r="I229" s="1">
        <v>142</v>
      </c>
      <c r="J229" s="1" t="s">
        <v>37</v>
      </c>
      <c r="K229" s="1">
        <v>40</v>
      </c>
      <c r="L229" s="1">
        <v>0</v>
      </c>
      <c r="M229" s="1">
        <v>5680</v>
      </c>
      <c r="N229" s="1">
        <v>5680</v>
      </c>
      <c r="O229" s="1">
        <v>3266</v>
      </c>
      <c r="P229" s="1">
        <v>2414</v>
      </c>
      <c r="Q229" s="1" t="s">
        <v>54</v>
      </c>
      <c r="R229" s="1" t="s">
        <v>38</v>
      </c>
      <c r="S229" s="1" t="s">
        <v>63</v>
      </c>
    </row>
    <row r="230" spans="1:19" x14ac:dyDescent="0.3">
      <c r="A230" s="1" t="s">
        <v>329</v>
      </c>
      <c r="B230" s="2">
        <v>46280</v>
      </c>
      <c r="C230" s="1" t="s">
        <v>60</v>
      </c>
      <c r="D230" s="1" t="s">
        <v>61</v>
      </c>
      <c r="E230" s="1" t="s">
        <v>62</v>
      </c>
      <c r="F230" s="1" t="s">
        <v>23</v>
      </c>
      <c r="G230" s="1" t="s">
        <v>24</v>
      </c>
      <c r="H230" s="1" t="s">
        <v>25</v>
      </c>
      <c r="I230" s="1">
        <v>54</v>
      </c>
      <c r="J230" s="1" t="s">
        <v>37</v>
      </c>
      <c r="K230" s="1">
        <v>40</v>
      </c>
      <c r="L230" s="1">
        <v>0</v>
      </c>
      <c r="M230" s="1">
        <v>2160</v>
      </c>
      <c r="N230" s="1">
        <v>2160</v>
      </c>
      <c r="O230" s="1">
        <v>1242</v>
      </c>
      <c r="P230" s="1">
        <v>918</v>
      </c>
      <c r="Q230" s="1" t="s">
        <v>54</v>
      </c>
      <c r="R230" s="1" t="s">
        <v>67</v>
      </c>
      <c r="S230" s="1" t="s">
        <v>29</v>
      </c>
    </row>
    <row r="231" spans="1:19" x14ac:dyDescent="0.3">
      <c r="A231" s="1" t="s">
        <v>330</v>
      </c>
      <c r="B231" s="2">
        <v>46285</v>
      </c>
      <c r="C231" s="1" t="s">
        <v>65</v>
      </c>
      <c r="D231" s="1" t="s">
        <v>66</v>
      </c>
      <c r="E231" s="1" t="s">
        <v>49</v>
      </c>
      <c r="F231" s="1" t="s">
        <v>50</v>
      </c>
      <c r="G231" s="1" t="s">
        <v>51</v>
      </c>
      <c r="H231" s="1" t="s">
        <v>52</v>
      </c>
      <c r="I231" s="1">
        <v>143</v>
      </c>
      <c r="J231" s="1" t="s">
        <v>53</v>
      </c>
      <c r="K231" s="1">
        <v>25</v>
      </c>
      <c r="L231" s="1">
        <v>0</v>
      </c>
      <c r="M231" s="1">
        <v>3575</v>
      </c>
      <c r="N231" s="1">
        <v>3575</v>
      </c>
      <c r="O231" s="1">
        <v>2030.6</v>
      </c>
      <c r="P231" s="1">
        <v>1544.4</v>
      </c>
      <c r="Q231" s="1" t="s">
        <v>45</v>
      </c>
      <c r="R231" s="1" t="s">
        <v>28</v>
      </c>
      <c r="S231" s="1" t="s">
        <v>68</v>
      </c>
    </row>
    <row r="232" spans="1:19" x14ac:dyDescent="0.3">
      <c r="A232" s="1" t="s">
        <v>331</v>
      </c>
      <c r="B232" s="2">
        <v>46290</v>
      </c>
      <c r="C232" s="1" t="s">
        <v>60</v>
      </c>
      <c r="D232" s="1" t="s">
        <v>61</v>
      </c>
      <c r="E232" s="1" t="s">
        <v>62</v>
      </c>
      <c r="F232" s="1" t="s">
        <v>23</v>
      </c>
      <c r="G232" s="1" t="s">
        <v>24</v>
      </c>
      <c r="H232" s="1" t="s">
        <v>25</v>
      </c>
      <c r="I232" s="1">
        <v>216</v>
      </c>
      <c r="J232" s="1" t="s">
        <v>37</v>
      </c>
      <c r="K232" s="1">
        <v>40</v>
      </c>
      <c r="L232" s="1">
        <v>0.02</v>
      </c>
      <c r="M232" s="1">
        <v>8640</v>
      </c>
      <c r="N232" s="1">
        <v>8467.2000000000007</v>
      </c>
      <c r="O232" s="1">
        <v>4968</v>
      </c>
      <c r="P232" s="1">
        <v>3499.2</v>
      </c>
      <c r="Q232" s="1" t="s">
        <v>27</v>
      </c>
      <c r="R232" s="1" t="s">
        <v>38</v>
      </c>
      <c r="S232" s="1" t="s">
        <v>29</v>
      </c>
    </row>
    <row r="233" spans="1:19" x14ac:dyDescent="0.3">
      <c r="A233" s="1" t="s">
        <v>332</v>
      </c>
      <c r="B233" s="2">
        <v>46276</v>
      </c>
      <c r="C233" s="1" t="s">
        <v>20</v>
      </c>
      <c r="D233" s="1" t="s">
        <v>21</v>
      </c>
      <c r="E233" s="1" t="s">
        <v>22</v>
      </c>
      <c r="F233" s="1" t="s">
        <v>34</v>
      </c>
      <c r="G233" s="1" t="s">
        <v>35</v>
      </c>
      <c r="H233" s="1" t="s">
        <v>36</v>
      </c>
      <c r="I233" s="1">
        <v>196</v>
      </c>
      <c r="J233" s="1" t="s">
        <v>26</v>
      </c>
      <c r="K233" s="1">
        <v>85</v>
      </c>
      <c r="L233" s="1">
        <v>0</v>
      </c>
      <c r="M233" s="1">
        <v>16660</v>
      </c>
      <c r="N233" s="1">
        <v>16660</v>
      </c>
      <c r="O233" s="1">
        <v>9996</v>
      </c>
      <c r="P233" s="1">
        <v>6664</v>
      </c>
      <c r="Q233" s="1" t="s">
        <v>45</v>
      </c>
      <c r="R233" s="1" t="s">
        <v>28</v>
      </c>
      <c r="S233" s="1" t="s">
        <v>68</v>
      </c>
    </row>
    <row r="234" spans="1:19" x14ac:dyDescent="0.3">
      <c r="A234" s="1" t="s">
        <v>333</v>
      </c>
      <c r="B234" s="2">
        <v>46277</v>
      </c>
      <c r="C234" s="1" t="s">
        <v>76</v>
      </c>
      <c r="D234" s="1" t="s">
        <v>77</v>
      </c>
      <c r="E234" s="1" t="s">
        <v>33</v>
      </c>
      <c r="F234" s="1" t="s">
        <v>127</v>
      </c>
      <c r="G234" s="1" t="s">
        <v>128</v>
      </c>
      <c r="H234" s="1" t="s">
        <v>129</v>
      </c>
      <c r="I234" s="1">
        <v>104</v>
      </c>
      <c r="J234" s="1" t="s">
        <v>37</v>
      </c>
      <c r="K234" s="1">
        <v>20</v>
      </c>
      <c r="L234" s="1">
        <v>0</v>
      </c>
      <c r="M234" s="1">
        <v>2080</v>
      </c>
      <c r="N234" s="1">
        <v>2080</v>
      </c>
      <c r="O234" s="1">
        <v>1227.2</v>
      </c>
      <c r="P234" s="1">
        <v>852.8</v>
      </c>
      <c r="Q234" s="1" t="s">
        <v>54</v>
      </c>
      <c r="R234" s="1" t="s">
        <v>38</v>
      </c>
      <c r="S234" s="1" t="s">
        <v>68</v>
      </c>
    </row>
    <row r="235" spans="1:19" x14ac:dyDescent="0.3">
      <c r="A235" s="1" t="s">
        <v>334</v>
      </c>
      <c r="B235" s="2">
        <v>46270</v>
      </c>
      <c r="C235" s="1" t="s">
        <v>82</v>
      </c>
      <c r="D235" s="1" t="s">
        <v>83</v>
      </c>
      <c r="E235" s="1" t="s">
        <v>33</v>
      </c>
      <c r="F235" s="1" t="s">
        <v>127</v>
      </c>
      <c r="G235" s="1" t="s">
        <v>128</v>
      </c>
      <c r="H235" s="1" t="s">
        <v>129</v>
      </c>
      <c r="I235" s="1">
        <v>140</v>
      </c>
      <c r="J235" s="1" t="s">
        <v>37</v>
      </c>
      <c r="K235" s="1">
        <v>35</v>
      </c>
      <c r="L235" s="1">
        <v>0.02</v>
      </c>
      <c r="M235" s="1">
        <v>4900</v>
      </c>
      <c r="N235" s="1">
        <v>4802</v>
      </c>
      <c r="O235" s="1">
        <v>2800</v>
      </c>
      <c r="P235" s="1">
        <v>2002</v>
      </c>
      <c r="Q235" s="1" t="s">
        <v>54</v>
      </c>
      <c r="R235" s="1" t="s">
        <v>38</v>
      </c>
      <c r="S235" s="1" t="s">
        <v>68</v>
      </c>
    </row>
    <row r="236" spans="1:19" x14ac:dyDescent="0.3">
      <c r="A236" s="1" t="s">
        <v>335</v>
      </c>
      <c r="B236" s="2">
        <v>46266</v>
      </c>
      <c r="C236" s="1" t="s">
        <v>76</v>
      </c>
      <c r="D236" s="1" t="s">
        <v>77</v>
      </c>
      <c r="E236" s="1" t="s">
        <v>33</v>
      </c>
      <c r="F236" s="1" t="s">
        <v>42</v>
      </c>
      <c r="G236" s="1" t="s">
        <v>43</v>
      </c>
      <c r="H236" s="1" t="s">
        <v>44</v>
      </c>
      <c r="I236" s="1">
        <v>197</v>
      </c>
      <c r="J236" s="1" t="s">
        <v>37</v>
      </c>
      <c r="K236" s="1">
        <v>20</v>
      </c>
      <c r="L236" s="1">
        <v>0</v>
      </c>
      <c r="M236" s="1">
        <v>3940</v>
      </c>
      <c r="N236" s="1">
        <v>3940</v>
      </c>
      <c r="O236" s="1">
        <v>2324.6</v>
      </c>
      <c r="P236" s="1">
        <v>1615.4</v>
      </c>
      <c r="Q236" s="1" t="s">
        <v>73</v>
      </c>
      <c r="R236" s="1" t="s">
        <v>38</v>
      </c>
      <c r="S236" s="1" t="s">
        <v>68</v>
      </c>
    </row>
    <row r="237" spans="1:19" x14ac:dyDescent="0.3">
      <c r="A237" s="1" t="s">
        <v>336</v>
      </c>
      <c r="B237" s="2">
        <v>46282</v>
      </c>
      <c r="C237" s="1" t="s">
        <v>88</v>
      </c>
      <c r="D237" s="1" t="s">
        <v>89</v>
      </c>
      <c r="E237" s="1" t="s">
        <v>62</v>
      </c>
      <c r="F237" s="1" t="s">
        <v>42</v>
      </c>
      <c r="G237" s="1" t="s">
        <v>43</v>
      </c>
      <c r="H237" s="1" t="s">
        <v>44</v>
      </c>
      <c r="I237" s="1">
        <v>66</v>
      </c>
      <c r="J237" s="1" t="s">
        <v>37</v>
      </c>
      <c r="K237" s="1">
        <v>20</v>
      </c>
      <c r="L237" s="1">
        <v>0.05</v>
      </c>
      <c r="M237" s="1">
        <v>1320</v>
      </c>
      <c r="N237" s="1">
        <v>1254</v>
      </c>
      <c r="O237" s="1">
        <v>726</v>
      </c>
      <c r="P237" s="1">
        <v>528</v>
      </c>
      <c r="Q237" s="1" t="s">
        <v>45</v>
      </c>
      <c r="R237" s="1" t="s">
        <v>38</v>
      </c>
      <c r="S237" s="1" t="s">
        <v>68</v>
      </c>
    </row>
    <row r="238" spans="1:19" x14ac:dyDescent="0.3">
      <c r="A238" s="1" t="s">
        <v>337</v>
      </c>
      <c r="B238" s="2">
        <v>46278</v>
      </c>
      <c r="C238" s="1" t="s">
        <v>20</v>
      </c>
      <c r="D238" s="1" t="s">
        <v>21</v>
      </c>
      <c r="E238" s="1" t="s">
        <v>22</v>
      </c>
      <c r="F238" s="1" t="s">
        <v>112</v>
      </c>
      <c r="G238" s="1" t="s">
        <v>113</v>
      </c>
      <c r="H238" s="1" t="s">
        <v>114</v>
      </c>
      <c r="I238" s="1">
        <v>73</v>
      </c>
      <c r="J238" s="1" t="s">
        <v>26</v>
      </c>
      <c r="K238" s="1">
        <v>85</v>
      </c>
      <c r="L238" s="1">
        <v>0</v>
      </c>
      <c r="M238" s="1">
        <v>6205</v>
      </c>
      <c r="N238" s="1">
        <v>6205</v>
      </c>
      <c r="O238" s="1">
        <v>3723</v>
      </c>
      <c r="P238" s="1">
        <v>2482</v>
      </c>
      <c r="Q238" s="1" t="s">
        <v>73</v>
      </c>
      <c r="R238" s="1" t="s">
        <v>38</v>
      </c>
      <c r="S238" s="1" t="s">
        <v>63</v>
      </c>
    </row>
    <row r="239" spans="1:19" x14ac:dyDescent="0.3">
      <c r="A239" s="1" t="s">
        <v>338</v>
      </c>
      <c r="B239" s="2">
        <v>46287</v>
      </c>
      <c r="C239" s="1" t="s">
        <v>20</v>
      </c>
      <c r="D239" s="1" t="s">
        <v>21</v>
      </c>
      <c r="E239" s="1" t="s">
        <v>22</v>
      </c>
      <c r="F239" s="1" t="s">
        <v>23</v>
      </c>
      <c r="G239" s="1" t="s">
        <v>24</v>
      </c>
      <c r="H239" s="1" t="s">
        <v>25</v>
      </c>
      <c r="I239" s="1">
        <v>171</v>
      </c>
      <c r="J239" s="1" t="s">
        <v>26</v>
      </c>
      <c r="K239" s="1">
        <v>85</v>
      </c>
      <c r="L239" s="1">
        <v>0.02</v>
      </c>
      <c r="M239" s="1">
        <v>14535</v>
      </c>
      <c r="N239" s="1">
        <v>14244.3</v>
      </c>
      <c r="O239" s="1">
        <v>8721</v>
      </c>
      <c r="P239" s="1">
        <v>5523.3</v>
      </c>
      <c r="Q239" s="1" t="s">
        <v>54</v>
      </c>
      <c r="R239" s="1" t="s">
        <v>28</v>
      </c>
      <c r="S239" s="1" t="s">
        <v>63</v>
      </c>
    </row>
    <row r="240" spans="1:19" x14ac:dyDescent="0.3">
      <c r="A240" s="1" t="s">
        <v>339</v>
      </c>
      <c r="B240" s="2">
        <v>46279</v>
      </c>
      <c r="C240" s="1" t="s">
        <v>20</v>
      </c>
      <c r="D240" s="1" t="s">
        <v>21</v>
      </c>
      <c r="E240" s="1" t="s">
        <v>22</v>
      </c>
      <c r="F240" s="1" t="s">
        <v>56</v>
      </c>
      <c r="G240" s="1" t="s">
        <v>57</v>
      </c>
      <c r="H240" s="1" t="s">
        <v>58</v>
      </c>
      <c r="I240" s="1">
        <v>138</v>
      </c>
      <c r="J240" s="1" t="s">
        <v>26</v>
      </c>
      <c r="K240" s="1">
        <v>85</v>
      </c>
      <c r="L240" s="1">
        <v>0</v>
      </c>
      <c r="M240" s="1">
        <v>11730</v>
      </c>
      <c r="N240" s="1">
        <v>11730</v>
      </c>
      <c r="O240" s="1">
        <v>7038</v>
      </c>
      <c r="P240" s="1">
        <v>4692</v>
      </c>
      <c r="Q240" s="1" t="s">
        <v>54</v>
      </c>
      <c r="R240" s="1" t="s">
        <v>38</v>
      </c>
      <c r="S240" s="1" t="s">
        <v>29</v>
      </c>
    </row>
    <row r="241" spans="1:19" x14ac:dyDescent="0.3">
      <c r="A241" s="1" t="s">
        <v>340</v>
      </c>
      <c r="B241" s="2">
        <v>46281</v>
      </c>
      <c r="C241" s="1" t="s">
        <v>60</v>
      </c>
      <c r="D241" s="1" t="s">
        <v>61</v>
      </c>
      <c r="E241" s="1" t="s">
        <v>62</v>
      </c>
      <c r="F241" s="1" t="s">
        <v>84</v>
      </c>
      <c r="G241" s="1" t="s">
        <v>85</v>
      </c>
      <c r="H241" s="1" t="s">
        <v>86</v>
      </c>
      <c r="I241" s="1">
        <v>137</v>
      </c>
      <c r="J241" s="1" t="s">
        <v>37</v>
      </c>
      <c r="K241" s="1">
        <v>40</v>
      </c>
      <c r="L241" s="1">
        <v>0</v>
      </c>
      <c r="M241" s="1">
        <v>5480</v>
      </c>
      <c r="N241" s="1">
        <v>5480</v>
      </c>
      <c r="O241" s="1">
        <v>3151</v>
      </c>
      <c r="P241" s="1">
        <v>2329</v>
      </c>
      <c r="Q241" s="1" t="s">
        <v>54</v>
      </c>
      <c r="R241" s="1" t="s">
        <v>38</v>
      </c>
      <c r="S241" s="1" t="s">
        <v>63</v>
      </c>
    </row>
    <row r="242" spans="1:19" x14ac:dyDescent="0.3">
      <c r="A242" s="1" t="s">
        <v>341</v>
      </c>
      <c r="B242" s="2">
        <v>46282</v>
      </c>
      <c r="C242" s="1" t="s">
        <v>60</v>
      </c>
      <c r="D242" s="1" t="s">
        <v>61</v>
      </c>
      <c r="E242" s="1" t="s">
        <v>62</v>
      </c>
      <c r="F242" s="1" t="s">
        <v>142</v>
      </c>
      <c r="G242" s="1" t="s">
        <v>143</v>
      </c>
      <c r="H242" s="1" t="s">
        <v>144</v>
      </c>
      <c r="I242" s="1">
        <v>199</v>
      </c>
      <c r="J242" s="1" t="s">
        <v>37</v>
      </c>
      <c r="K242" s="1">
        <v>40</v>
      </c>
      <c r="L242" s="1">
        <v>0</v>
      </c>
      <c r="M242" s="1">
        <v>7960</v>
      </c>
      <c r="N242" s="1">
        <v>7960</v>
      </c>
      <c r="O242" s="1">
        <v>4577</v>
      </c>
      <c r="P242" s="1">
        <v>3383</v>
      </c>
      <c r="Q242" s="1" t="s">
        <v>73</v>
      </c>
      <c r="R242" s="1" t="s">
        <v>38</v>
      </c>
      <c r="S242" s="1" t="s">
        <v>63</v>
      </c>
    </row>
    <row r="243" spans="1:19" x14ac:dyDescent="0.3">
      <c r="A243" s="1" t="s">
        <v>342</v>
      </c>
      <c r="B243" s="2">
        <v>46286</v>
      </c>
      <c r="C243" s="1" t="s">
        <v>76</v>
      </c>
      <c r="D243" s="1" t="s">
        <v>77</v>
      </c>
      <c r="E243" s="1" t="s">
        <v>33</v>
      </c>
      <c r="F243" s="1" t="s">
        <v>92</v>
      </c>
      <c r="G243" s="1" t="s">
        <v>93</v>
      </c>
      <c r="H243" s="1" t="s">
        <v>94</v>
      </c>
      <c r="I243" s="1">
        <v>90</v>
      </c>
      <c r="J243" s="1" t="s">
        <v>37</v>
      </c>
      <c r="K243" s="1">
        <v>20</v>
      </c>
      <c r="L243" s="1">
        <v>0.02</v>
      </c>
      <c r="M243" s="1">
        <v>1800</v>
      </c>
      <c r="N243" s="1">
        <v>1764</v>
      </c>
      <c r="O243" s="1">
        <v>1062</v>
      </c>
      <c r="P243" s="1">
        <v>702</v>
      </c>
      <c r="Q243" s="1" t="s">
        <v>54</v>
      </c>
      <c r="R243" s="1" t="s">
        <v>38</v>
      </c>
      <c r="S243" s="1" t="s">
        <v>63</v>
      </c>
    </row>
    <row r="244" spans="1:19" x14ac:dyDescent="0.3">
      <c r="A244" s="1" t="s">
        <v>343</v>
      </c>
      <c r="B244" s="2">
        <v>46288</v>
      </c>
      <c r="C244" s="1" t="s">
        <v>88</v>
      </c>
      <c r="D244" s="1" t="s">
        <v>89</v>
      </c>
      <c r="E244" s="1" t="s">
        <v>62</v>
      </c>
      <c r="F244" s="1" t="s">
        <v>127</v>
      </c>
      <c r="G244" s="1" t="s">
        <v>128</v>
      </c>
      <c r="H244" s="1" t="s">
        <v>129</v>
      </c>
      <c r="I244" s="1">
        <v>77</v>
      </c>
      <c r="J244" s="1" t="s">
        <v>37</v>
      </c>
      <c r="K244" s="1">
        <v>20</v>
      </c>
      <c r="L244" s="1">
        <v>0.03</v>
      </c>
      <c r="M244" s="1">
        <v>1540</v>
      </c>
      <c r="N244" s="1">
        <v>1493.8</v>
      </c>
      <c r="O244" s="1">
        <v>847</v>
      </c>
      <c r="P244" s="1">
        <v>646.79999999999995</v>
      </c>
      <c r="Q244" s="1" t="s">
        <v>27</v>
      </c>
      <c r="R244" s="1" t="s">
        <v>38</v>
      </c>
      <c r="S244" s="1" t="s">
        <v>63</v>
      </c>
    </row>
    <row r="245" spans="1:19" x14ac:dyDescent="0.3">
      <c r="A245" s="1" t="s">
        <v>344</v>
      </c>
      <c r="B245" s="2">
        <v>46271</v>
      </c>
      <c r="C245" s="1" t="s">
        <v>60</v>
      </c>
      <c r="D245" s="1" t="s">
        <v>61</v>
      </c>
      <c r="E245" s="1" t="s">
        <v>62</v>
      </c>
      <c r="F245" s="1" t="s">
        <v>78</v>
      </c>
      <c r="G245" s="1" t="s">
        <v>79</v>
      </c>
      <c r="H245" s="1" t="s">
        <v>80</v>
      </c>
      <c r="I245" s="1">
        <v>148</v>
      </c>
      <c r="J245" s="1" t="s">
        <v>37</v>
      </c>
      <c r="K245" s="1">
        <v>40</v>
      </c>
      <c r="L245" s="1">
        <v>0.05</v>
      </c>
      <c r="M245" s="1">
        <v>5920</v>
      </c>
      <c r="N245" s="1">
        <v>5624</v>
      </c>
      <c r="O245" s="1">
        <v>3404</v>
      </c>
      <c r="P245" s="1">
        <v>2220</v>
      </c>
      <c r="Q245" s="1" t="s">
        <v>27</v>
      </c>
      <c r="R245" s="1" t="s">
        <v>28</v>
      </c>
      <c r="S245" s="1" t="s">
        <v>29</v>
      </c>
    </row>
    <row r="246" spans="1:19" x14ac:dyDescent="0.3">
      <c r="A246" s="1" t="s">
        <v>345</v>
      </c>
      <c r="B246" s="2">
        <v>46275</v>
      </c>
      <c r="C246" s="1" t="s">
        <v>106</v>
      </c>
      <c r="D246" s="1" t="s">
        <v>107</v>
      </c>
      <c r="E246" s="1" t="s">
        <v>108</v>
      </c>
      <c r="F246" s="1" t="s">
        <v>112</v>
      </c>
      <c r="G246" s="1" t="s">
        <v>113</v>
      </c>
      <c r="H246" s="1" t="s">
        <v>114</v>
      </c>
      <c r="I246" s="1">
        <v>110</v>
      </c>
      <c r="J246" s="1" t="s">
        <v>37</v>
      </c>
      <c r="K246" s="1">
        <v>15</v>
      </c>
      <c r="L246" s="1">
        <v>0.02</v>
      </c>
      <c r="M246" s="1">
        <v>1650</v>
      </c>
      <c r="N246" s="1">
        <v>1617</v>
      </c>
      <c r="O246" s="1">
        <v>935</v>
      </c>
      <c r="P246" s="1">
        <v>682</v>
      </c>
      <c r="Q246" s="1" t="s">
        <v>45</v>
      </c>
      <c r="R246" s="1" t="s">
        <v>28</v>
      </c>
      <c r="S246" s="1" t="s">
        <v>29</v>
      </c>
    </row>
    <row r="247" spans="1:19" x14ac:dyDescent="0.3">
      <c r="A247" s="1" t="s">
        <v>346</v>
      </c>
      <c r="B247" s="2">
        <v>46275</v>
      </c>
      <c r="C247" s="1" t="s">
        <v>47</v>
      </c>
      <c r="D247" s="1" t="s">
        <v>48</v>
      </c>
      <c r="E247" s="1" t="s">
        <v>49</v>
      </c>
      <c r="F247" s="1" t="s">
        <v>127</v>
      </c>
      <c r="G247" s="1" t="s">
        <v>128</v>
      </c>
      <c r="H247" s="1" t="s">
        <v>129</v>
      </c>
      <c r="I247" s="1">
        <v>39</v>
      </c>
      <c r="J247" s="1" t="s">
        <v>53</v>
      </c>
      <c r="K247" s="1">
        <v>25</v>
      </c>
      <c r="L247" s="1">
        <v>0.02</v>
      </c>
      <c r="M247" s="1">
        <v>975</v>
      </c>
      <c r="N247" s="1">
        <v>955.5</v>
      </c>
      <c r="O247" s="1">
        <v>546</v>
      </c>
      <c r="P247" s="1">
        <v>409.5</v>
      </c>
      <c r="Q247" s="1" t="s">
        <v>45</v>
      </c>
      <c r="R247" s="1" t="s">
        <v>38</v>
      </c>
      <c r="S247" s="1" t="s">
        <v>63</v>
      </c>
    </row>
    <row r="248" spans="1:19" x14ac:dyDescent="0.3">
      <c r="A248" s="1" t="s">
        <v>347</v>
      </c>
      <c r="B248" s="2">
        <v>46287</v>
      </c>
      <c r="C248" s="1" t="s">
        <v>76</v>
      </c>
      <c r="D248" s="1" t="s">
        <v>77</v>
      </c>
      <c r="E248" s="1" t="s">
        <v>33</v>
      </c>
      <c r="F248" s="1" t="s">
        <v>97</v>
      </c>
      <c r="G248" s="1" t="s">
        <v>98</v>
      </c>
      <c r="H248" s="1" t="s">
        <v>94</v>
      </c>
      <c r="I248" s="1">
        <v>111</v>
      </c>
      <c r="J248" s="1" t="s">
        <v>37</v>
      </c>
      <c r="K248" s="1">
        <v>20</v>
      </c>
      <c r="L248" s="1">
        <v>0.03</v>
      </c>
      <c r="M248" s="1">
        <v>2220</v>
      </c>
      <c r="N248" s="1">
        <v>2153.4</v>
      </c>
      <c r="O248" s="1">
        <v>1309.8</v>
      </c>
      <c r="P248" s="1">
        <v>843.6</v>
      </c>
      <c r="Q248" s="1" t="s">
        <v>45</v>
      </c>
      <c r="R248" s="1" t="s">
        <v>28</v>
      </c>
      <c r="S248" s="1" t="s">
        <v>29</v>
      </c>
    </row>
    <row r="249" spans="1:19" x14ac:dyDescent="0.3">
      <c r="A249" s="1" t="s">
        <v>348</v>
      </c>
      <c r="B249" s="2">
        <v>46290</v>
      </c>
      <c r="C249" s="1" t="s">
        <v>40</v>
      </c>
      <c r="D249" s="1" t="s">
        <v>41</v>
      </c>
      <c r="E249" s="1" t="s">
        <v>33</v>
      </c>
      <c r="F249" s="1" t="s">
        <v>92</v>
      </c>
      <c r="G249" s="1" t="s">
        <v>93</v>
      </c>
      <c r="H249" s="1" t="s">
        <v>94</v>
      </c>
      <c r="I249" s="1">
        <v>172</v>
      </c>
      <c r="J249" s="1" t="s">
        <v>37</v>
      </c>
      <c r="K249" s="1">
        <v>20</v>
      </c>
      <c r="L249" s="1">
        <v>0.03</v>
      </c>
      <c r="M249" s="1">
        <v>3440</v>
      </c>
      <c r="N249" s="1">
        <v>3336.8</v>
      </c>
      <c r="O249" s="1">
        <v>1978</v>
      </c>
      <c r="P249" s="1">
        <v>1358.8</v>
      </c>
      <c r="Q249" s="1" t="s">
        <v>54</v>
      </c>
      <c r="R249" s="1" t="s">
        <v>38</v>
      </c>
      <c r="S249" s="1" t="s">
        <v>68</v>
      </c>
    </row>
    <row r="250" spans="1:19" x14ac:dyDescent="0.3">
      <c r="A250" s="1" t="s">
        <v>349</v>
      </c>
      <c r="B250" s="2">
        <v>46272</v>
      </c>
      <c r="C250" s="1" t="s">
        <v>20</v>
      </c>
      <c r="D250" s="1" t="s">
        <v>21</v>
      </c>
      <c r="E250" s="1" t="s">
        <v>22</v>
      </c>
      <c r="F250" s="1" t="s">
        <v>23</v>
      </c>
      <c r="G250" s="1" t="s">
        <v>24</v>
      </c>
      <c r="H250" s="1" t="s">
        <v>25</v>
      </c>
      <c r="I250" s="1">
        <v>92</v>
      </c>
      <c r="J250" s="1" t="s">
        <v>26</v>
      </c>
      <c r="K250" s="1">
        <v>85</v>
      </c>
      <c r="L250" s="1">
        <v>0</v>
      </c>
      <c r="M250" s="1">
        <v>7820</v>
      </c>
      <c r="N250" s="1">
        <v>7820</v>
      </c>
      <c r="O250" s="1">
        <v>4692</v>
      </c>
      <c r="P250" s="1">
        <v>3128</v>
      </c>
      <c r="Q250" s="1" t="s">
        <v>73</v>
      </c>
      <c r="R250" s="1" t="s">
        <v>38</v>
      </c>
      <c r="S250" s="1" t="s">
        <v>68</v>
      </c>
    </row>
    <row r="251" spans="1:19" x14ac:dyDescent="0.3">
      <c r="A251" s="1" t="s">
        <v>350</v>
      </c>
      <c r="B251" s="2">
        <v>46274</v>
      </c>
      <c r="C251" s="1" t="s">
        <v>88</v>
      </c>
      <c r="D251" s="1" t="s">
        <v>89</v>
      </c>
      <c r="E251" s="1" t="s">
        <v>62</v>
      </c>
      <c r="F251" s="1" t="s">
        <v>97</v>
      </c>
      <c r="G251" s="1" t="s">
        <v>98</v>
      </c>
      <c r="H251" s="1" t="s">
        <v>94</v>
      </c>
      <c r="I251" s="1">
        <v>95</v>
      </c>
      <c r="J251" s="1" t="s">
        <v>37</v>
      </c>
      <c r="K251" s="1">
        <v>20</v>
      </c>
      <c r="L251" s="1">
        <v>0.02</v>
      </c>
      <c r="M251" s="1">
        <v>1900</v>
      </c>
      <c r="N251" s="1">
        <v>1862</v>
      </c>
      <c r="O251" s="1">
        <v>1045</v>
      </c>
      <c r="P251" s="1">
        <v>817</v>
      </c>
      <c r="Q251" s="1" t="s">
        <v>73</v>
      </c>
      <c r="R251" s="1" t="s">
        <v>67</v>
      </c>
      <c r="S251" s="1" t="s">
        <v>63</v>
      </c>
    </row>
    <row r="252" spans="1:19" x14ac:dyDescent="0.3">
      <c r="A252" s="1" t="s">
        <v>351</v>
      </c>
      <c r="B252" s="2">
        <v>46276</v>
      </c>
      <c r="C252" s="1" t="s">
        <v>40</v>
      </c>
      <c r="D252" s="1" t="s">
        <v>41</v>
      </c>
      <c r="E252" s="1" t="s">
        <v>33</v>
      </c>
      <c r="F252" s="1" t="s">
        <v>84</v>
      </c>
      <c r="G252" s="1" t="s">
        <v>85</v>
      </c>
      <c r="H252" s="1" t="s">
        <v>86</v>
      </c>
      <c r="I252" s="1">
        <v>116</v>
      </c>
      <c r="J252" s="1" t="s">
        <v>37</v>
      </c>
      <c r="K252" s="1">
        <v>20</v>
      </c>
      <c r="L252" s="1">
        <v>0.03</v>
      </c>
      <c r="M252" s="1">
        <v>2320</v>
      </c>
      <c r="N252" s="1">
        <v>2250.4</v>
      </c>
      <c r="O252" s="1">
        <v>1334</v>
      </c>
      <c r="P252" s="1">
        <v>916.4</v>
      </c>
      <c r="Q252" s="1" t="s">
        <v>45</v>
      </c>
      <c r="R252" s="1" t="s">
        <v>28</v>
      </c>
      <c r="S252" s="1" t="s">
        <v>63</v>
      </c>
    </row>
    <row r="253" spans="1:19" x14ac:dyDescent="0.3">
      <c r="A253" s="1" t="s">
        <v>352</v>
      </c>
      <c r="B253" s="2">
        <v>46292</v>
      </c>
      <c r="C253" s="1" t="s">
        <v>60</v>
      </c>
      <c r="D253" s="1" t="s">
        <v>61</v>
      </c>
      <c r="E253" s="1" t="s">
        <v>62</v>
      </c>
      <c r="F253" s="1" t="s">
        <v>92</v>
      </c>
      <c r="G253" s="1" t="s">
        <v>93</v>
      </c>
      <c r="H253" s="1" t="s">
        <v>94</v>
      </c>
      <c r="I253" s="1">
        <v>97</v>
      </c>
      <c r="J253" s="1" t="s">
        <v>37</v>
      </c>
      <c r="K253" s="1">
        <v>40</v>
      </c>
      <c r="L253" s="1">
        <v>0</v>
      </c>
      <c r="M253" s="1">
        <v>3880</v>
      </c>
      <c r="N253" s="1">
        <v>3880</v>
      </c>
      <c r="O253" s="1">
        <v>2231</v>
      </c>
      <c r="P253" s="1">
        <v>1649</v>
      </c>
      <c r="Q253" s="1" t="s">
        <v>73</v>
      </c>
      <c r="R253" s="1" t="s">
        <v>28</v>
      </c>
      <c r="S253" s="1" t="s">
        <v>68</v>
      </c>
    </row>
    <row r="254" spans="1:19" x14ac:dyDescent="0.3">
      <c r="A254" s="1" t="s">
        <v>353</v>
      </c>
      <c r="B254" s="2">
        <v>46286</v>
      </c>
      <c r="C254" s="1" t="s">
        <v>60</v>
      </c>
      <c r="D254" s="1" t="s">
        <v>61</v>
      </c>
      <c r="E254" s="1" t="s">
        <v>62</v>
      </c>
      <c r="F254" s="1" t="s">
        <v>84</v>
      </c>
      <c r="G254" s="1" t="s">
        <v>85</v>
      </c>
      <c r="H254" s="1" t="s">
        <v>86</v>
      </c>
      <c r="I254" s="1">
        <v>20</v>
      </c>
      <c r="J254" s="1" t="s">
        <v>37</v>
      </c>
      <c r="K254" s="1">
        <v>40</v>
      </c>
      <c r="L254" s="1">
        <v>0.05</v>
      </c>
      <c r="M254" s="1">
        <v>800</v>
      </c>
      <c r="N254" s="1">
        <v>760</v>
      </c>
      <c r="O254" s="1">
        <v>460</v>
      </c>
      <c r="P254" s="1">
        <v>300</v>
      </c>
      <c r="Q254" s="1" t="s">
        <v>54</v>
      </c>
      <c r="R254" s="1" t="s">
        <v>38</v>
      </c>
      <c r="S254" s="1" t="s">
        <v>29</v>
      </c>
    </row>
    <row r="255" spans="1:19" x14ac:dyDescent="0.3">
      <c r="A255" s="1" t="s">
        <v>354</v>
      </c>
      <c r="B255" s="2">
        <v>46292</v>
      </c>
      <c r="C255" s="1" t="s">
        <v>40</v>
      </c>
      <c r="D255" s="1" t="s">
        <v>41</v>
      </c>
      <c r="E255" s="1" t="s">
        <v>33</v>
      </c>
      <c r="F255" s="1" t="s">
        <v>34</v>
      </c>
      <c r="G255" s="1" t="s">
        <v>35</v>
      </c>
      <c r="H255" s="1" t="s">
        <v>36</v>
      </c>
      <c r="I255" s="1">
        <v>136</v>
      </c>
      <c r="J255" s="1" t="s">
        <v>37</v>
      </c>
      <c r="K255" s="1">
        <v>20</v>
      </c>
      <c r="L255" s="1">
        <v>0</v>
      </c>
      <c r="M255" s="1">
        <v>2720</v>
      </c>
      <c r="N255" s="1">
        <v>2720</v>
      </c>
      <c r="O255" s="1">
        <v>1564</v>
      </c>
      <c r="P255" s="1">
        <v>1156</v>
      </c>
      <c r="Q255" s="1" t="s">
        <v>45</v>
      </c>
      <c r="R255" s="1" t="s">
        <v>38</v>
      </c>
      <c r="S255" s="1" t="s">
        <v>29</v>
      </c>
    </row>
    <row r="256" spans="1:19" x14ac:dyDescent="0.3">
      <c r="A256" s="1" t="s">
        <v>355</v>
      </c>
      <c r="B256" s="2">
        <v>46287</v>
      </c>
      <c r="C256" s="1" t="s">
        <v>106</v>
      </c>
      <c r="D256" s="1" t="s">
        <v>107</v>
      </c>
      <c r="E256" s="1" t="s">
        <v>108</v>
      </c>
      <c r="F256" s="1" t="s">
        <v>116</v>
      </c>
      <c r="G256" s="1" t="s">
        <v>117</v>
      </c>
      <c r="H256" s="1" t="s">
        <v>118</v>
      </c>
      <c r="I256" s="1">
        <v>56</v>
      </c>
      <c r="J256" s="1" t="s">
        <v>37</v>
      </c>
      <c r="K256" s="1">
        <v>15</v>
      </c>
      <c r="L256" s="1">
        <v>0</v>
      </c>
      <c r="M256" s="1">
        <v>840</v>
      </c>
      <c r="N256" s="1">
        <v>840</v>
      </c>
      <c r="O256" s="1">
        <v>476</v>
      </c>
      <c r="P256" s="1">
        <v>364</v>
      </c>
      <c r="Q256" s="1" t="s">
        <v>27</v>
      </c>
      <c r="R256" s="1" t="s">
        <v>38</v>
      </c>
      <c r="S256" s="1" t="s">
        <v>68</v>
      </c>
    </row>
    <row r="257" spans="1:19" x14ac:dyDescent="0.3">
      <c r="A257" s="1" t="s">
        <v>356</v>
      </c>
      <c r="B257" s="2">
        <v>46279</v>
      </c>
      <c r="C257" s="1" t="s">
        <v>106</v>
      </c>
      <c r="D257" s="1" t="s">
        <v>107</v>
      </c>
      <c r="E257" s="1" t="s">
        <v>108</v>
      </c>
      <c r="F257" s="1" t="s">
        <v>112</v>
      </c>
      <c r="G257" s="1" t="s">
        <v>113</v>
      </c>
      <c r="H257" s="1" t="s">
        <v>114</v>
      </c>
      <c r="I257" s="1">
        <v>157</v>
      </c>
      <c r="J257" s="1" t="s">
        <v>37</v>
      </c>
      <c r="K257" s="1">
        <v>15</v>
      </c>
      <c r="L257" s="1">
        <v>0</v>
      </c>
      <c r="M257" s="1">
        <v>2355</v>
      </c>
      <c r="N257" s="1">
        <v>2355</v>
      </c>
      <c r="O257" s="1">
        <v>1334.5</v>
      </c>
      <c r="P257" s="1">
        <v>1020.5</v>
      </c>
      <c r="Q257" s="1" t="s">
        <v>54</v>
      </c>
      <c r="R257" s="1" t="s">
        <v>38</v>
      </c>
      <c r="S257" s="1" t="s">
        <v>29</v>
      </c>
    </row>
    <row r="258" spans="1:19" x14ac:dyDescent="0.3">
      <c r="A258" s="1" t="s">
        <v>357</v>
      </c>
      <c r="B258" s="2">
        <v>46273</v>
      </c>
      <c r="C258" s="1" t="s">
        <v>60</v>
      </c>
      <c r="D258" s="1" t="s">
        <v>61</v>
      </c>
      <c r="E258" s="1" t="s">
        <v>62</v>
      </c>
      <c r="F258" s="1" t="s">
        <v>42</v>
      </c>
      <c r="G258" s="1" t="s">
        <v>43</v>
      </c>
      <c r="H258" s="1" t="s">
        <v>44</v>
      </c>
      <c r="I258" s="1">
        <v>179</v>
      </c>
      <c r="J258" s="1" t="s">
        <v>37</v>
      </c>
      <c r="K258" s="1">
        <v>40</v>
      </c>
      <c r="L258" s="1">
        <v>0.02</v>
      </c>
      <c r="M258" s="1">
        <v>7160</v>
      </c>
      <c r="N258" s="1">
        <v>7016.8</v>
      </c>
      <c r="O258" s="1">
        <v>4117</v>
      </c>
      <c r="P258" s="1">
        <v>2899.8</v>
      </c>
      <c r="Q258" s="1" t="s">
        <v>73</v>
      </c>
      <c r="R258" s="1" t="s">
        <v>38</v>
      </c>
      <c r="S258" s="1" t="s">
        <v>63</v>
      </c>
    </row>
    <row r="259" spans="1:19" x14ac:dyDescent="0.3">
      <c r="A259" s="1" t="s">
        <v>358</v>
      </c>
      <c r="B259" s="2">
        <v>46281</v>
      </c>
      <c r="C259" s="1" t="s">
        <v>76</v>
      </c>
      <c r="D259" s="1" t="s">
        <v>77</v>
      </c>
      <c r="E259" s="1" t="s">
        <v>33</v>
      </c>
      <c r="F259" s="1" t="s">
        <v>116</v>
      </c>
      <c r="G259" s="1" t="s">
        <v>117</v>
      </c>
      <c r="H259" s="1" t="s">
        <v>118</v>
      </c>
      <c r="I259" s="1">
        <v>199</v>
      </c>
      <c r="J259" s="1" t="s">
        <v>37</v>
      </c>
      <c r="K259" s="1">
        <v>20</v>
      </c>
      <c r="L259" s="1">
        <v>0</v>
      </c>
      <c r="M259" s="1">
        <v>3980</v>
      </c>
      <c r="N259" s="1">
        <v>3980</v>
      </c>
      <c r="O259" s="1">
        <v>2348.1999999999998</v>
      </c>
      <c r="P259" s="1">
        <v>1631.8</v>
      </c>
      <c r="Q259" s="1" t="s">
        <v>54</v>
      </c>
      <c r="R259" s="1" t="s">
        <v>38</v>
      </c>
      <c r="S259" s="1" t="s">
        <v>29</v>
      </c>
    </row>
    <row r="260" spans="1:19" x14ac:dyDescent="0.3">
      <c r="A260" s="1" t="s">
        <v>359</v>
      </c>
      <c r="B260" s="2">
        <v>46266</v>
      </c>
      <c r="C260" s="1" t="s">
        <v>60</v>
      </c>
      <c r="D260" s="1" t="s">
        <v>61</v>
      </c>
      <c r="E260" s="1" t="s">
        <v>62</v>
      </c>
      <c r="F260" s="1" t="s">
        <v>56</v>
      </c>
      <c r="G260" s="1" t="s">
        <v>57</v>
      </c>
      <c r="H260" s="1" t="s">
        <v>58</v>
      </c>
      <c r="I260" s="1">
        <v>43</v>
      </c>
      <c r="J260" s="1" t="s">
        <v>37</v>
      </c>
      <c r="K260" s="1">
        <v>40</v>
      </c>
      <c r="L260" s="1">
        <v>0</v>
      </c>
      <c r="M260" s="1">
        <v>1720</v>
      </c>
      <c r="N260" s="1">
        <v>1720</v>
      </c>
      <c r="O260" s="1">
        <v>989</v>
      </c>
      <c r="P260" s="1">
        <v>731</v>
      </c>
      <c r="Q260" s="1" t="s">
        <v>54</v>
      </c>
      <c r="R260" s="1" t="s">
        <v>38</v>
      </c>
      <c r="S260" s="1" t="s">
        <v>68</v>
      </c>
    </row>
    <row r="261" spans="1:19" x14ac:dyDescent="0.3">
      <c r="A261" s="1" t="s">
        <v>360</v>
      </c>
      <c r="B261" s="2">
        <v>46285</v>
      </c>
      <c r="C261" s="1" t="s">
        <v>31</v>
      </c>
      <c r="D261" s="1" t="s">
        <v>32</v>
      </c>
      <c r="E261" s="1" t="s">
        <v>33</v>
      </c>
      <c r="F261" s="1" t="s">
        <v>101</v>
      </c>
      <c r="G261" s="1" t="s">
        <v>102</v>
      </c>
      <c r="H261" s="1" t="s">
        <v>103</v>
      </c>
      <c r="I261" s="1">
        <v>84</v>
      </c>
      <c r="J261" s="1" t="s">
        <v>37</v>
      </c>
      <c r="K261" s="1">
        <v>50</v>
      </c>
      <c r="L261" s="1">
        <v>0.05</v>
      </c>
      <c r="M261" s="1">
        <v>4200</v>
      </c>
      <c r="N261" s="1">
        <v>3990</v>
      </c>
      <c r="O261" s="1">
        <v>2436</v>
      </c>
      <c r="P261" s="1">
        <v>1554</v>
      </c>
      <c r="Q261" s="1" t="s">
        <v>45</v>
      </c>
      <c r="R261" s="1" t="s">
        <v>28</v>
      </c>
      <c r="S261" s="1" t="s">
        <v>63</v>
      </c>
    </row>
    <row r="262" spans="1:19" x14ac:dyDescent="0.3">
      <c r="A262" s="1" t="s">
        <v>361</v>
      </c>
      <c r="B262" s="2">
        <v>46292</v>
      </c>
      <c r="C262" s="1" t="s">
        <v>82</v>
      </c>
      <c r="D262" s="1" t="s">
        <v>83</v>
      </c>
      <c r="E262" s="1" t="s">
        <v>33</v>
      </c>
      <c r="F262" s="1" t="s">
        <v>34</v>
      </c>
      <c r="G262" s="1" t="s">
        <v>35</v>
      </c>
      <c r="H262" s="1" t="s">
        <v>36</v>
      </c>
      <c r="I262" s="1">
        <v>98</v>
      </c>
      <c r="J262" s="1" t="s">
        <v>37</v>
      </c>
      <c r="K262" s="1">
        <v>35</v>
      </c>
      <c r="L262" s="1">
        <v>0</v>
      </c>
      <c r="M262" s="1">
        <v>3430</v>
      </c>
      <c r="N262" s="1">
        <v>3430</v>
      </c>
      <c r="O262" s="1">
        <v>1960</v>
      </c>
      <c r="P262" s="1">
        <v>1470</v>
      </c>
      <c r="Q262" s="1" t="s">
        <v>54</v>
      </c>
      <c r="R262" s="1" t="s">
        <v>38</v>
      </c>
      <c r="S262" s="1" t="s">
        <v>63</v>
      </c>
    </row>
    <row r="263" spans="1:19" x14ac:dyDescent="0.3">
      <c r="A263" s="1" t="s">
        <v>362</v>
      </c>
      <c r="B263" s="2">
        <v>46288</v>
      </c>
      <c r="C263" s="1" t="s">
        <v>47</v>
      </c>
      <c r="D263" s="1" t="s">
        <v>48</v>
      </c>
      <c r="E263" s="1" t="s">
        <v>49</v>
      </c>
      <c r="F263" s="1" t="s">
        <v>84</v>
      </c>
      <c r="G263" s="1" t="s">
        <v>85</v>
      </c>
      <c r="H263" s="1" t="s">
        <v>86</v>
      </c>
      <c r="I263" s="1">
        <v>50</v>
      </c>
      <c r="J263" s="1" t="s">
        <v>53</v>
      </c>
      <c r="K263" s="1">
        <v>25</v>
      </c>
      <c r="L263" s="1">
        <v>0</v>
      </c>
      <c r="M263" s="1">
        <v>1250</v>
      </c>
      <c r="N263" s="1">
        <v>1250</v>
      </c>
      <c r="O263" s="1">
        <v>700</v>
      </c>
      <c r="P263" s="1">
        <v>550</v>
      </c>
      <c r="Q263" s="1" t="s">
        <v>45</v>
      </c>
      <c r="R263" s="1" t="s">
        <v>38</v>
      </c>
      <c r="S263" s="1" t="s">
        <v>63</v>
      </c>
    </row>
    <row r="264" spans="1:19" x14ac:dyDescent="0.3">
      <c r="A264" s="1" t="s">
        <v>363</v>
      </c>
      <c r="B264" s="2">
        <v>46292</v>
      </c>
      <c r="C264" s="1" t="s">
        <v>60</v>
      </c>
      <c r="D264" s="1" t="s">
        <v>61</v>
      </c>
      <c r="E264" s="1" t="s">
        <v>62</v>
      </c>
      <c r="F264" s="1" t="s">
        <v>23</v>
      </c>
      <c r="G264" s="1" t="s">
        <v>24</v>
      </c>
      <c r="H264" s="1" t="s">
        <v>25</v>
      </c>
      <c r="I264" s="1">
        <v>24</v>
      </c>
      <c r="J264" s="1" t="s">
        <v>37</v>
      </c>
      <c r="K264" s="1">
        <v>40</v>
      </c>
      <c r="L264" s="1">
        <v>0.03</v>
      </c>
      <c r="M264" s="1">
        <v>960</v>
      </c>
      <c r="N264" s="1">
        <v>931.2</v>
      </c>
      <c r="O264" s="1">
        <v>552</v>
      </c>
      <c r="P264" s="1">
        <v>379.2</v>
      </c>
      <c r="Q264" s="1" t="s">
        <v>54</v>
      </c>
      <c r="R264" s="1" t="s">
        <v>28</v>
      </c>
      <c r="S264" s="1" t="s">
        <v>29</v>
      </c>
    </row>
    <row r="265" spans="1:19" x14ac:dyDescent="0.3">
      <c r="A265" s="1" t="s">
        <v>364</v>
      </c>
      <c r="B265" s="2">
        <v>46282</v>
      </c>
      <c r="C265" s="1" t="s">
        <v>20</v>
      </c>
      <c r="D265" s="1" t="s">
        <v>21</v>
      </c>
      <c r="E265" s="1" t="s">
        <v>22</v>
      </c>
      <c r="F265" s="1" t="s">
        <v>42</v>
      </c>
      <c r="G265" s="1" t="s">
        <v>43</v>
      </c>
      <c r="H265" s="1" t="s">
        <v>44</v>
      </c>
      <c r="I265" s="1">
        <v>151</v>
      </c>
      <c r="J265" s="1" t="s">
        <v>26</v>
      </c>
      <c r="K265" s="1">
        <v>85</v>
      </c>
      <c r="L265" s="1">
        <v>0.05</v>
      </c>
      <c r="M265" s="1">
        <v>12835</v>
      </c>
      <c r="N265" s="1">
        <v>12193.25</v>
      </c>
      <c r="O265" s="1">
        <v>7701</v>
      </c>
      <c r="P265" s="1">
        <v>4492.25</v>
      </c>
      <c r="Q265" s="1" t="s">
        <v>27</v>
      </c>
      <c r="R265" s="1" t="s">
        <v>38</v>
      </c>
      <c r="S265" s="1" t="s">
        <v>29</v>
      </c>
    </row>
    <row r="266" spans="1:19" x14ac:dyDescent="0.3">
      <c r="A266" s="1" t="s">
        <v>365</v>
      </c>
      <c r="B266" s="2">
        <v>46278</v>
      </c>
      <c r="C266" s="1" t="s">
        <v>47</v>
      </c>
      <c r="D266" s="1" t="s">
        <v>48</v>
      </c>
      <c r="E266" s="1" t="s">
        <v>49</v>
      </c>
      <c r="F266" s="1" t="s">
        <v>56</v>
      </c>
      <c r="G266" s="1" t="s">
        <v>57</v>
      </c>
      <c r="H266" s="1" t="s">
        <v>58</v>
      </c>
      <c r="I266" s="1">
        <v>191</v>
      </c>
      <c r="J266" s="1" t="s">
        <v>53</v>
      </c>
      <c r="K266" s="1">
        <v>25</v>
      </c>
      <c r="L266" s="1">
        <v>0.03</v>
      </c>
      <c r="M266" s="1">
        <v>4775</v>
      </c>
      <c r="N266" s="1">
        <v>4631.75</v>
      </c>
      <c r="O266" s="1">
        <v>2674</v>
      </c>
      <c r="P266" s="1">
        <v>1957.75</v>
      </c>
      <c r="Q266" s="1" t="s">
        <v>73</v>
      </c>
      <c r="R266" s="1" t="s">
        <v>38</v>
      </c>
      <c r="S266" s="1" t="s">
        <v>68</v>
      </c>
    </row>
    <row r="267" spans="1:19" x14ac:dyDescent="0.3">
      <c r="A267" s="1" t="s">
        <v>366</v>
      </c>
      <c r="B267" s="2">
        <v>46284</v>
      </c>
      <c r="C267" s="1" t="s">
        <v>65</v>
      </c>
      <c r="D267" s="1" t="s">
        <v>66</v>
      </c>
      <c r="E267" s="1" t="s">
        <v>49</v>
      </c>
      <c r="F267" s="1" t="s">
        <v>116</v>
      </c>
      <c r="G267" s="1" t="s">
        <v>117</v>
      </c>
      <c r="H267" s="1" t="s">
        <v>118</v>
      </c>
      <c r="I267" s="1">
        <v>26</v>
      </c>
      <c r="J267" s="1" t="s">
        <v>53</v>
      </c>
      <c r="K267" s="1">
        <v>25</v>
      </c>
      <c r="L267" s="1">
        <v>0.05</v>
      </c>
      <c r="M267" s="1">
        <v>650</v>
      </c>
      <c r="N267" s="1">
        <v>617.5</v>
      </c>
      <c r="O267" s="1">
        <v>369.2</v>
      </c>
      <c r="P267" s="1">
        <v>248.3</v>
      </c>
      <c r="Q267" s="1" t="s">
        <v>27</v>
      </c>
      <c r="R267" s="1" t="s">
        <v>38</v>
      </c>
      <c r="S267" s="1" t="s">
        <v>29</v>
      </c>
    </row>
    <row r="268" spans="1:19" x14ac:dyDescent="0.3">
      <c r="A268" s="1" t="s">
        <v>367</v>
      </c>
      <c r="B268" s="2">
        <v>46282</v>
      </c>
      <c r="C268" s="1" t="s">
        <v>47</v>
      </c>
      <c r="D268" s="1" t="s">
        <v>48</v>
      </c>
      <c r="E268" s="1" t="s">
        <v>49</v>
      </c>
      <c r="F268" s="1" t="s">
        <v>127</v>
      </c>
      <c r="G268" s="1" t="s">
        <v>128</v>
      </c>
      <c r="H268" s="1" t="s">
        <v>129</v>
      </c>
      <c r="I268" s="1">
        <v>172</v>
      </c>
      <c r="J268" s="1" t="s">
        <v>53</v>
      </c>
      <c r="K268" s="1">
        <v>25</v>
      </c>
      <c r="L268" s="1">
        <v>0</v>
      </c>
      <c r="M268" s="1">
        <v>4300</v>
      </c>
      <c r="N268" s="1">
        <v>4300</v>
      </c>
      <c r="O268" s="1">
        <v>2408</v>
      </c>
      <c r="P268" s="1">
        <v>1892</v>
      </c>
      <c r="Q268" s="1" t="s">
        <v>54</v>
      </c>
      <c r="R268" s="1" t="s">
        <v>38</v>
      </c>
      <c r="S268" s="1" t="s">
        <v>29</v>
      </c>
    </row>
    <row r="269" spans="1:19" x14ac:dyDescent="0.3">
      <c r="A269" s="1" t="s">
        <v>368</v>
      </c>
      <c r="B269" s="2">
        <v>46281</v>
      </c>
      <c r="C269" s="1" t="s">
        <v>47</v>
      </c>
      <c r="D269" s="1" t="s">
        <v>48</v>
      </c>
      <c r="E269" s="1" t="s">
        <v>49</v>
      </c>
      <c r="F269" s="1" t="s">
        <v>101</v>
      </c>
      <c r="G269" s="1" t="s">
        <v>102</v>
      </c>
      <c r="H269" s="1" t="s">
        <v>103</v>
      </c>
      <c r="I269" s="1">
        <v>70</v>
      </c>
      <c r="J269" s="1" t="s">
        <v>53</v>
      </c>
      <c r="K269" s="1">
        <v>25</v>
      </c>
      <c r="L269" s="1">
        <v>0</v>
      </c>
      <c r="M269" s="1">
        <v>1750</v>
      </c>
      <c r="N269" s="1">
        <v>1750</v>
      </c>
      <c r="O269" s="1">
        <v>980</v>
      </c>
      <c r="P269" s="1">
        <v>770</v>
      </c>
      <c r="Q269" s="1" t="s">
        <v>45</v>
      </c>
      <c r="R269" s="1" t="s">
        <v>38</v>
      </c>
      <c r="S269" s="1" t="s">
        <v>63</v>
      </c>
    </row>
    <row r="270" spans="1:19" x14ac:dyDescent="0.3">
      <c r="A270" s="1" t="s">
        <v>369</v>
      </c>
      <c r="B270" s="2">
        <v>46269</v>
      </c>
      <c r="C270" s="1" t="s">
        <v>40</v>
      </c>
      <c r="D270" s="1" t="s">
        <v>41</v>
      </c>
      <c r="E270" s="1" t="s">
        <v>33</v>
      </c>
      <c r="F270" s="1" t="s">
        <v>127</v>
      </c>
      <c r="G270" s="1" t="s">
        <v>128</v>
      </c>
      <c r="H270" s="1" t="s">
        <v>129</v>
      </c>
      <c r="I270" s="1">
        <v>40</v>
      </c>
      <c r="J270" s="1" t="s">
        <v>37</v>
      </c>
      <c r="K270" s="1">
        <v>20</v>
      </c>
      <c r="L270" s="1">
        <v>0</v>
      </c>
      <c r="M270" s="1">
        <v>800</v>
      </c>
      <c r="N270" s="1">
        <v>800</v>
      </c>
      <c r="O270" s="1">
        <v>460</v>
      </c>
      <c r="P270" s="1">
        <v>340</v>
      </c>
      <c r="Q270" s="1" t="s">
        <v>27</v>
      </c>
      <c r="R270" s="1" t="s">
        <v>38</v>
      </c>
      <c r="S270" s="1" t="s">
        <v>63</v>
      </c>
    </row>
    <row r="271" spans="1:19" x14ac:dyDescent="0.3">
      <c r="A271" s="1" t="s">
        <v>370</v>
      </c>
      <c r="B271" s="2">
        <v>46295</v>
      </c>
      <c r="C271" s="1" t="s">
        <v>65</v>
      </c>
      <c r="D271" s="1" t="s">
        <v>66</v>
      </c>
      <c r="E271" s="1" t="s">
        <v>49</v>
      </c>
      <c r="F271" s="1" t="s">
        <v>84</v>
      </c>
      <c r="G271" s="1" t="s">
        <v>85</v>
      </c>
      <c r="H271" s="1" t="s">
        <v>86</v>
      </c>
      <c r="I271" s="1">
        <v>198</v>
      </c>
      <c r="J271" s="1" t="s">
        <v>53</v>
      </c>
      <c r="K271" s="1">
        <v>25</v>
      </c>
      <c r="L271" s="1">
        <v>0.03</v>
      </c>
      <c r="M271" s="1">
        <v>4950</v>
      </c>
      <c r="N271" s="1">
        <v>4801.5</v>
      </c>
      <c r="O271" s="1">
        <v>2811.6</v>
      </c>
      <c r="P271" s="1">
        <v>1989.9</v>
      </c>
      <c r="Q271" s="1" t="s">
        <v>54</v>
      </c>
      <c r="R271" s="1" t="s">
        <v>38</v>
      </c>
      <c r="S271" s="1" t="s">
        <v>63</v>
      </c>
    </row>
    <row r="272" spans="1:19" x14ac:dyDescent="0.3">
      <c r="A272" s="1" t="s">
        <v>371</v>
      </c>
      <c r="B272" s="2">
        <v>46291</v>
      </c>
      <c r="C272" s="1" t="s">
        <v>65</v>
      </c>
      <c r="D272" s="1" t="s">
        <v>66</v>
      </c>
      <c r="E272" s="1" t="s">
        <v>49</v>
      </c>
      <c r="F272" s="1" t="s">
        <v>34</v>
      </c>
      <c r="G272" s="1" t="s">
        <v>35</v>
      </c>
      <c r="H272" s="1" t="s">
        <v>36</v>
      </c>
      <c r="I272" s="1">
        <v>56</v>
      </c>
      <c r="J272" s="1" t="s">
        <v>53</v>
      </c>
      <c r="K272" s="1">
        <v>25</v>
      </c>
      <c r="L272" s="1">
        <v>0.03</v>
      </c>
      <c r="M272" s="1">
        <v>1400</v>
      </c>
      <c r="N272" s="1">
        <v>1358</v>
      </c>
      <c r="O272" s="1">
        <v>795.2</v>
      </c>
      <c r="P272" s="1">
        <v>562.79999999999995</v>
      </c>
      <c r="Q272" s="1" t="s">
        <v>54</v>
      </c>
      <c r="R272" s="1" t="s">
        <v>38</v>
      </c>
      <c r="S272" s="1" t="s">
        <v>63</v>
      </c>
    </row>
    <row r="273" spans="1:19" x14ac:dyDescent="0.3">
      <c r="A273" s="1" t="s">
        <v>372</v>
      </c>
      <c r="B273" s="2">
        <v>46294</v>
      </c>
      <c r="C273" s="1" t="s">
        <v>76</v>
      </c>
      <c r="D273" s="1" t="s">
        <v>77</v>
      </c>
      <c r="E273" s="1" t="s">
        <v>33</v>
      </c>
      <c r="F273" s="1" t="s">
        <v>101</v>
      </c>
      <c r="G273" s="1" t="s">
        <v>102</v>
      </c>
      <c r="H273" s="1" t="s">
        <v>103</v>
      </c>
      <c r="I273" s="1">
        <v>128</v>
      </c>
      <c r="J273" s="1" t="s">
        <v>37</v>
      </c>
      <c r="K273" s="1">
        <v>20</v>
      </c>
      <c r="L273" s="1">
        <v>0</v>
      </c>
      <c r="M273" s="1">
        <v>2560</v>
      </c>
      <c r="N273" s="1">
        <v>2560</v>
      </c>
      <c r="O273" s="1">
        <v>1510.4</v>
      </c>
      <c r="P273" s="1">
        <v>1049.5999999999999</v>
      </c>
      <c r="Q273" s="1" t="s">
        <v>27</v>
      </c>
      <c r="R273" s="1" t="s">
        <v>67</v>
      </c>
      <c r="S273" s="1" t="s">
        <v>63</v>
      </c>
    </row>
    <row r="274" spans="1:19" x14ac:dyDescent="0.3">
      <c r="A274" s="1" t="s">
        <v>373</v>
      </c>
      <c r="B274" s="2">
        <v>46282</v>
      </c>
      <c r="C274" s="1" t="s">
        <v>76</v>
      </c>
      <c r="D274" s="1" t="s">
        <v>77</v>
      </c>
      <c r="E274" s="1" t="s">
        <v>33</v>
      </c>
      <c r="F274" s="1" t="s">
        <v>23</v>
      </c>
      <c r="G274" s="1" t="s">
        <v>24</v>
      </c>
      <c r="H274" s="1" t="s">
        <v>25</v>
      </c>
      <c r="I274" s="1">
        <v>204</v>
      </c>
      <c r="J274" s="1" t="s">
        <v>37</v>
      </c>
      <c r="K274" s="1">
        <v>20</v>
      </c>
      <c r="L274" s="1">
        <v>0.02</v>
      </c>
      <c r="M274" s="1">
        <v>4080</v>
      </c>
      <c r="N274" s="1">
        <v>3998.4</v>
      </c>
      <c r="O274" s="1">
        <v>2407.1999999999998</v>
      </c>
      <c r="P274" s="1">
        <v>1591.2</v>
      </c>
      <c r="Q274" s="1" t="s">
        <v>73</v>
      </c>
      <c r="R274" s="1" t="s">
        <v>67</v>
      </c>
      <c r="S274" s="1" t="s">
        <v>63</v>
      </c>
    </row>
    <row r="275" spans="1:19" x14ac:dyDescent="0.3">
      <c r="A275" s="1" t="s">
        <v>374</v>
      </c>
      <c r="B275" s="2">
        <v>46294</v>
      </c>
      <c r="C275" s="1" t="s">
        <v>106</v>
      </c>
      <c r="D275" s="1" t="s">
        <v>107</v>
      </c>
      <c r="E275" s="1" t="s">
        <v>108</v>
      </c>
      <c r="F275" s="1" t="s">
        <v>34</v>
      </c>
      <c r="G275" s="1" t="s">
        <v>35</v>
      </c>
      <c r="H275" s="1" t="s">
        <v>36</v>
      </c>
      <c r="I275" s="1">
        <v>142</v>
      </c>
      <c r="J275" s="1" t="s">
        <v>37</v>
      </c>
      <c r="K275" s="1">
        <v>15</v>
      </c>
      <c r="L275" s="1">
        <v>0</v>
      </c>
      <c r="M275" s="1">
        <v>2130</v>
      </c>
      <c r="N275" s="1">
        <v>2130</v>
      </c>
      <c r="O275" s="1">
        <v>1207</v>
      </c>
      <c r="P275" s="1">
        <v>923</v>
      </c>
      <c r="Q275" s="1" t="s">
        <v>54</v>
      </c>
      <c r="R275" s="1" t="s">
        <v>38</v>
      </c>
      <c r="S275" s="1" t="s">
        <v>29</v>
      </c>
    </row>
    <row r="276" spans="1:19" x14ac:dyDescent="0.3">
      <c r="A276" s="1" t="s">
        <v>375</v>
      </c>
      <c r="B276" s="2">
        <v>46270</v>
      </c>
      <c r="C276" s="1" t="s">
        <v>20</v>
      </c>
      <c r="D276" s="1" t="s">
        <v>21</v>
      </c>
      <c r="E276" s="1" t="s">
        <v>22</v>
      </c>
      <c r="F276" s="1" t="s">
        <v>112</v>
      </c>
      <c r="G276" s="1" t="s">
        <v>113</v>
      </c>
      <c r="H276" s="1" t="s">
        <v>114</v>
      </c>
      <c r="I276" s="1">
        <v>20</v>
      </c>
      <c r="J276" s="1" t="s">
        <v>26</v>
      </c>
      <c r="K276" s="1">
        <v>85</v>
      </c>
      <c r="L276" s="1">
        <v>0</v>
      </c>
      <c r="M276" s="1">
        <v>1700</v>
      </c>
      <c r="N276" s="1">
        <v>1700</v>
      </c>
      <c r="O276" s="1">
        <v>1020</v>
      </c>
      <c r="P276" s="1">
        <v>680</v>
      </c>
      <c r="Q276" s="1" t="s">
        <v>54</v>
      </c>
      <c r="R276" s="1" t="s">
        <v>38</v>
      </c>
      <c r="S276" s="1" t="s">
        <v>63</v>
      </c>
    </row>
    <row r="277" spans="1:19" x14ac:dyDescent="0.3">
      <c r="A277" s="1" t="s">
        <v>376</v>
      </c>
      <c r="B277" s="2">
        <v>46286</v>
      </c>
      <c r="C277" s="1" t="s">
        <v>76</v>
      </c>
      <c r="D277" s="1" t="s">
        <v>77</v>
      </c>
      <c r="E277" s="1" t="s">
        <v>33</v>
      </c>
      <c r="F277" s="1" t="s">
        <v>112</v>
      </c>
      <c r="G277" s="1" t="s">
        <v>113</v>
      </c>
      <c r="H277" s="1" t="s">
        <v>114</v>
      </c>
      <c r="I277" s="1">
        <v>166</v>
      </c>
      <c r="J277" s="1" t="s">
        <v>37</v>
      </c>
      <c r="K277" s="1">
        <v>20</v>
      </c>
      <c r="L277" s="1">
        <v>0.05</v>
      </c>
      <c r="M277" s="1">
        <v>3320</v>
      </c>
      <c r="N277" s="1">
        <v>3154</v>
      </c>
      <c r="O277" s="1">
        <v>1958.8</v>
      </c>
      <c r="P277" s="1">
        <v>1195.2</v>
      </c>
      <c r="Q277" s="1" t="s">
        <v>73</v>
      </c>
      <c r="R277" s="1" t="s">
        <v>38</v>
      </c>
      <c r="S277" s="1" t="s">
        <v>63</v>
      </c>
    </row>
    <row r="278" spans="1:19" x14ac:dyDescent="0.3">
      <c r="A278" s="1" t="s">
        <v>377</v>
      </c>
      <c r="B278" s="2">
        <v>46287</v>
      </c>
      <c r="C278" s="1" t="s">
        <v>20</v>
      </c>
      <c r="D278" s="1" t="s">
        <v>21</v>
      </c>
      <c r="E278" s="1" t="s">
        <v>22</v>
      </c>
      <c r="F278" s="1" t="s">
        <v>127</v>
      </c>
      <c r="G278" s="1" t="s">
        <v>128</v>
      </c>
      <c r="H278" s="1" t="s">
        <v>129</v>
      </c>
      <c r="I278" s="1">
        <v>129</v>
      </c>
      <c r="J278" s="1" t="s">
        <v>26</v>
      </c>
      <c r="K278" s="1">
        <v>85</v>
      </c>
      <c r="L278" s="1">
        <v>0</v>
      </c>
      <c r="M278" s="1">
        <v>10965</v>
      </c>
      <c r="N278" s="1">
        <v>10965</v>
      </c>
      <c r="O278" s="1">
        <v>6579</v>
      </c>
      <c r="P278" s="1">
        <v>4386</v>
      </c>
      <c r="Q278" s="1" t="s">
        <v>73</v>
      </c>
      <c r="R278" s="1" t="s">
        <v>38</v>
      </c>
      <c r="S278" s="1" t="s">
        <v>68</v>
      </c>
    </row>
    <row r="279" spans="1:19" x14ac:dyDescent="0.3">
      <c r="A279" s="1" t="s">
        <v>378</v>
      </c>
      <c r="B279" s="2">
        <v>46293</v>
      </c>
      <c r="C279" s="1" t="s">
        <v>20</v>
      </c>
      <c r="D279" s="1" t="s">
        <v>21</v>
      </c>
      <c r="E279" s="1" t="s">
        <v>22</v>
      </c>
      <c r="F279" s="1" t="s">
        <v>142</v>
      </c>
      <c r="G279" s="1" t="s">
        <v>143</v>
      </c>
      <c r="H279" s="1" t="s">
        <v>144</v>
      </c>
      <c r="I279" s="1">
        <v>207</v>
      </c>
      <c r="J279" s="1" t="s">
        <v>26</v>
      </c>
      <c r="K279" s="1">
        <v>85</v>
      </c>
      <c r="L279" s="1">
        <v>0</v>
      </c>
      <c r="M279" s="1">
        <v>17595</v>
      </c>
      <c r="N279" s="1">
        <v>17595</v>
      </c>
      <c r="O279" s="1">
        <v>10557</v>
      </c>
      <c r="P279" s="1">
        <v>7038</v>
      </c>
      <c r="Q279" s="1" t="s">
        <v>73</v>
      </c>
      <c r="R279" s="1" t="s">
        <v>28</v>
      </c>
      <c r="S279" s="1" t="s">
        <v>63</v>
      </c>
    </row>
    <row r="280" spans="1:19" x14ac:dyDescent="0.3">
      <c r="A280" s="1" t="s">
        <v>379</v>
      </c>
      <c r="B280" s="2">
        <v>46293</v>
      </c>
      <c r="C280" s="1" t="s">
        <v>60</v>
      </c>
      <c r="D280" s="1" t="s">
        <v>61</v>
      </c>
      <c r="E280" s="1" t="s">
        <v>62</v>
      </c>
      <c r="F280" s="1" t="s">
        <v>78</v>
      </c>
      <c r="G280" s="1" t="s">
        <v>79</v>
      </c>
      <c r="H280" s="1" t="s">
        <v>80</v>
      </c>
      <c r="I280" s="1">
        <v>219</v>
      </c>
      <c r="J280" s="1" t="s">
        <v>37</v>
      </c>
      <c r="K280" s="1">
        <v>40</v>
      </c>
      <c r="L280" s="1">
        <v>0.03</v>
      </c>
      <c r="M280" s="1">
        <v>8760</v>
      </c>
      <c r="N280" s="1">
        <v>8497.2000000000007</v>
      </c>
      <c r="O280" s="1">
        <v>5037</v>
      </c>
      <c r="P280" s="1">
        <v>3460.2</v>
      </c>
      <c r="Q280" s="1" t="s">
        <v>73</v>
      </c>
      <c r="R280" s="1" t="s">
        <v>38</v>
      </c>
      <c r="S280" s="1" t="s">
        <v>63</v>
      </c>
    </row>
    <row r="281" spans="1:19" x14ac:dyDescent="0.3">
      <c r="A281" s="1" t="s">
        <v>380</v>
      </c>
      <c r="B281" s="2">
        <v>46275</v>
      </c>
      <c r="C281" s="1" t="s">
        <v>65</v>
      </c>
      <c r="D281" s="1" t="s">
        <v>66</v>
      </c>
      <c r="E281" s="1" t="s">
        <v>49</v>
      </c>
      <c r="F281" s="1" t="s">
        <v>112</v>
      </c>
      <c r="G281" s="1" t="s">
        <v>113</v>
      </c>
      <c r="H281" s="1" t="s">
        <v>114</v>
      </c>
      <c r="I281" s="1">
        <v>89</v>
      </c>
      <c r="J281" s="1" t="s">
        <v>53</v>
      </c>
      <c r="K281" s="1">
        <v>25</v>
      </c>
      <c r="L281" s="1">
        <v>0.05</v>
      </c>
      <c r="M281" s="1">
        <v>2225</v>
      </c>
      <c r="N281" s="1">
        <v>2113.75</v>
      </c>
      <c r="O281" s="1">
        <v>1263.8</v>
      </c>
      <c r="P281" s="1">
        <v>849.95</v>
      </c>
      <c r="Q281" s="1" t="s">
        <v>54</v>
      </c>
      <c r="R281" s="1" t="s">
        <v>38</v>
      </c>
      <c r="S281" s="1" t="s">
        <v>29</v>
      </c>
    </row>
    <row r="282" spans="1:19" x14ac:dyDescent="0.3">
      <c r="A282" s="1" t="s">
        <v>381</v>
      </c>
      <c r="B282" s="2">
        <v>46266</v>
      </c>
      <c r="C282" s="1" t="s">
        <v>106</v>
      </c>
      <c r="D282" s="1" t="s">
        <v>107</v>
      </c>
      <c r="E282" s="1" t="s">
        <v>108</v>
      </c>
      <c r="F282" s="1" t="s">
        <v>116</v>
      </c>
      <c r="G282" s="1" t="s">
        <v>117</v>
      </c>
      <c r="H282" s="1" t="s">
        <v>118</v>
      </c>
      <c r="I282" s="1">
        <v>92</v>
      </c>
      <c r="J282" s="1" t="s">
        <v>37</v>
      </c>
      <c r="K282" s="1">
        <v>15</v>
      </c>
      <c r="L282" s="1">
        <v>0.03</v>
      </c>
      <c r="M282" s="1">
        <v>1380</v>
      </c>
      <c r="N282" s="1">
        <v>1338.6</v>
      </c>
      <c r="O282" s="1">
        <v>782</v>
      </c>
      <c r="P282" s="1">
        <v>556.6</v>
      </c>
      <c r="Q282" s="1" t="s">
        <v>73</v>
      </c>
      <c r="R282" s="1" t="s">
        <v>38</v>
      </c>
      <c r="S282" s="1" t="s">
        <v>63</v>
      </c>
    </row>
    <row r="283" spans="1:19" x14ac:dyDescent="0.3">
      <c r="A283" s="1" t="s">
        <v>382</v>
      </c>
      <c r="B283" s="2">
        <v>46269</v>
      </c>
      <c r="C283" s="1" t="s">
        <v>106</v>
      </c>
      <c r="D283" s="1" t="s">
        <v>107</v>
      </c>
      <c r="E283" s="1" t="s">
        <v>108</v>
      </c>
      <c r="F283" s="1" t="s">
        <v>97</v>
      </c>
      <c r="G283" s="1" t="s">
        <v>98</v>
      </c>
      <c r="H283" s="1" t="s">
        <v>94</v>
      </c>
      <c r="I283" s="1">
        <v>101</v>
      </c>
      <c r="J283" s="1" t="s">
        <v>37</v>
      </c>
      <c r="K283" s="1">
        <v>15</v>
      </c>
      <c r="L283" s="1">
        <v>0.03</v>
      </c>
      <c r="M283" s="1">
        <v>1515</v>
      </c>
      <c r="N283" s="1">
        <v>1469.55</v>
      </c>
      <c r="O283" s="1">
        <v>858.5</v>
      </c>
      <c r="P283" s="1">
        <v>611.04999999999995</v>
      </c>
      <c r="Q283" s="1" t="s">
        <v>45</v>
      </c>
      <c r="R283" s="1" t="s">
        <v>67</v>
      </c>
      <c r="S283" s="1" t="s">
        <v>29</v>
      </c>
    </row>
    <row r="284" spans="1:19" x14ac:dyDescent="0.3">
      <c r="A284" s="1" t="s">
        <v>383</v>
      </c>
      <c r="B284" s="2">
        <v>46275</v>
      </c>
      <c r="C284" s="1" t="s">
        <v>65</v>
      </c>
      <c r="D284" s="1" t="s">
        <v>66</v>
      </c>
      <c r="E284" s="1" t="s">
        <v>49</v>
      </c>
      <c r="F284" s="1" t="s">
        <v>101</v>
      </c>
      <c r="G284" s="1" t="s">
        <v>102</v>
      </c>
      <c r="H284" s="1" t="s">
        <v>103</v>
      </c>
      <c r="I284" s="1">
        <v>113</v>
      </c>
      <c r="J284" s="1" t="s">
        <v>53</v>
      </c>
      <c r="K284" s="1">
        <v>25</v>
      </c>
      <c r="L284" s="1">
        <v>0.05</v>
      </c>
      <c r="M284" s="1">
        <v>2825</v>
      </c>
      <c r="N284" s="1">
        <v>2683.75</v>
      </c>
      <c r="O284" s="1">
        <v>1604.6</v>
      </c>
      <c r="P284" s="1">
        <v>1079.1500000000001</v>
      </c>
      <c r="Q284" s="1" t="s">
        <v>73</v>
      </c>
      <c r="R284" s="1" t="s">
        <v>38</v>
      </c>
      <c r="S284" s="1" t="s">
        <v>29</v>
      </c>
    </row>
    <row r="285" spans="1:19" x14ac:dyDescent="0.3">
      <c r="A285" s="1" t="s">
        <v>384</v>
      </c>
      <c r="B285" s="2">
        <v>46276</v>
      </c>
      <c r="C285" s="1" t="s">
        <v>31</v>
      </c>
      <c r="D285" s="1" t="s">
        <v>32</v>
      </c>
      <c r="E285" s="1" t="s">
        <v>33</v>
      </c>
      <c r="F285" s="1" t="s">
        <v>142</v>
      </c>
      <c r="G285" s="1" t="s">
        <v>143</v>
      </c>
      <c r="H285" s="1" t="s">
        <v>144</v>
      </c>
      <c r="I285" s="1">
        <v>202</v>
      </c>
      <c r="J285" s="1" t="s">
        <v>37</v>
      </c>
      <c r="K285" s="1">
        <v>50</v>
      </c>
      <c r="L285" s="1">
        <v>0</v>
      </c>
      <c r="M285" s="1">
        <v>10100</v>
      </c>
      <c r="N285" s="1">
        <v>10100</v>
      </c>
      <c r="O285" s="1">
        <v>5858</v>
      </c>
      <c r="P285" s="1">
        <v>4242</v>
      </c>
      <c r="Q285" s="1" t="s">
        <v>45</v>
      </c>
      <c r="R285" s="1" t="s">
        <v>38</v>
      </c>
      <c r="S285" s="1" t="s">
        <v>29</v>
      </c>
    </row>
    <row r="286" spans="1:19" x14ac:dyDescent="0.3">
      <c r="A286" s="1" t="s">
        <v>385</v>
      </c>
      <c r="B286" s="2">
        <v>46294</v>
      </c>
      <c r="C286" s="1" t="s">
        <v>106</v>
      </c>
      <c r="D286" s="1" t="s">
        <v>107</v>
      </c>
      <c r="E286" s="1" t="s">
        <v>108</v>
      </c>
      <c r="F286" s="1" t="s">
        <v>84</v>
      </c>
      <c r="G286" s="1" t="s">
        <v>85</v>
      </c>
      <c r="H286" s="1" t="s">
        <v>86</v>
      </c>
      <c r="I286" s="1">
        <v>62</v>
      </c>
      <c r="J286" s="1" t="s">
        <v>37</v>
      </c>
      <c r="K286" s="1">
        <v>15</v>
      </c>
      <c r="L286" s="1">
        <v>0</v>
      </c>
      <c r="M286" s="1">
        <v>930</v>
      </c>
      <c r="N286" s="1">
        <v>930</v>
      </c>
      <c r="O286" s="1">
        <v>527</v>
      </c>
      <c r="P286" s="1">
        <v>403</v>
      </c>
      <c r="Q286" s="1" t="s">
        <v>45</v>
      </c>
      <c r="R286" s="1" t="s">
        <v>67</v>
      </c>
      <c r="S286" s="1" t="s">
        <v>68</v>
      </c>
    </row>
    <row r="287" spans="1:19" x14ac:dyDescent="0.3">
      <c r="A287" s="1" t="s">
        <v>386</v>
      </c>
      <c r="B287" s="2">
        <v>46294</v>
      </c>
      <c r="C287" s="1" t="s">
        <v>82</v>
      </c>
      <c r="D287" s="1" t="s">
        <v>83</v>
      </c>
      <c r="E287" s="1" t="s">
        <v>33</v>
      </c>
      <c r="F287" s="1" t="s">
        <v>84</v>
      </c>
      <c r="G287" s="1" t="s">
        <v>85</v>
      </c>
      <c r="H287" s="1" t="s">
        <v>86</v>
      </c>
      <c r="I287" s="1">
        <v>141</v>
      </c>
      <c r="J287" s="1" t="s">
        <v>37</v>
      </c>
      <c r="K287" s="1">
        <v>35</v>
      </c>
      <c r="L287" s="1">
        <v>0</v>
      </c>
      <c r="M287" s="1">
        <v>4935</v>
      </c>
      <c r="N287" s="1">
        <v>4935</v>
      </c>
      <c r="O287" s="1">
        <v>2820</v>
      </c>
      <c r="P287" s="1">
        <v>2115</v>
      </c>
      <c r="Q287" s="1" t="s">
        <v>73</v>
      </c>
      <c r="R287" s="1" t="s">
        <v>38</v>
      </c>
      <c r="S287" s="1" t="s">
        <v>29</v>
      </c>
    </row>
    <row r="288" spans="1:19" x14ac:dyDescent="0.3">
      <c r="A288" s="1" t="s">
        <v>387</v>
      </c>
      <c r="B288" s="2">
        <v>46289</v>
      </c>
      <c r="C288" s="1" t="s">
        <v>60</v>
      </c>
      <c r="D288" s="1" t="s">
        <v>61</v>
      </c>
      <c r="E288" s="1" t="s">
        <v>62</v>
      </c>
      <c r="F288" s="1" t="s">
        <v>92</v>
      </c>
      <c r="G288" s="1" t="s">
        <v>93</v>
      </c>
      <c r="H288" s="1" t="s">
        <v>94</v>
      </c>
      <c r="I288" s="1">
        <v>160</v>
      </c>
      <c r="J288" s="1" t="s">
        <v>37</v>
      </c>
      <c r="K288" s="1">
        <v>40</v>
      </c>
      <c r="L288" s="1">
        <v>0.02</v>
      </c>
      <c r="M288" s="1">
        <v>6400</v>
      </c>
      <c r="N288" s="1">
        <v>6272</v>
      </c>
      <c r="O288" s="1">
        <v>3680</v>
      </c>
      <c r="P288" s="1">
        <v>2592</v>
      </c>
      <c r="Q288" s="1" t="s">
        <v>27</v>
      </c>
      <c r="R288" s="1" t="s">
        <v>38</v>
      </c>
      <c r="S288" s="1" t="s">
        <v>68</v>
      </c>
    </row>
    <row r="289" spans="1:19" x14ac:dyDescent="0.3">
      <c r="A289" s="1" t="s">
        <v>388</v>
      </c>
      <c r="B289" s="2">
        <v>46283</v>
      </c>
      <c r="C289" s="1" t="s">
        <v>88</v>
      </c>
      <c r="D289" s="1" t="s">
        <v>89</v>
      </c>
      <c r="E289" s="1" t="s">
        <v>62</v>
      </c>
      <c r="F289" s="1" t="s">
        <v>50</v>
      </c>
      <c r="G289" s="1" t="s">
        <v>51</v>
      </c>
      <c r="H289" s="1" t="s">
        <v>52</v>
      </c>
      <c r="I289" s="1">
        <v>92</v>
      </c>
      <c r="J289" s="1" t="s">
        <v>37</v>
      </c>
      <c r="K289" s="1">
        <v>20</v>
      </c>
      <c r="L289" s="1">
        <v>0.03</v>
      </c>
      <c r="M289" s="1">
        <v>1840</v>
      </c>
      <c r="N289" s="1">
        <v>1784.8</v>
      </c>
      <c r="O289" s="1">
        <v>1012</v>
      </c>
      <c r="P289" s="1">
        <v>772.8</v>
      </c>
      <c r="Q289" s="1" t="s">
        <v>45</v>
      </c>
      <c r="R289" s="1" t="s">
        <v>67</v>
      </c>
      <c r="S289" s="1" t="s">
        <v>63</v>
      </c>
    </row>
    <row r="290" spans="1:19" x14ac:dyDescent="0.3">
      <c r="A290" s="1" t="s">
        <v>389</v>
      </c>
      <c r="B290" s="2">
        <v>46289</v>
      </c>
      <c r="C290" s="1" t="s">
        <v>60</v>
      </c>
      <c r="D290" s="1" t="s">
        <v>61</v>
      </c>
      <c r="E290" s="1" t="s">
        <v>62</v>
      </c>
      <c r="F290" s="1" t="s">
        <v>84</v>
      </c>
      <c r="G290" s="1" t="s">
        <v>85</v>
      </c>
      <c r="H290" s="1" t="s">
        <v>86</v>
      </c>
      <c r="I290" s="1">
        <v>18</v>
      </c>
      <c r="J290" s="1" t="s">
        <v>37</v>
      </c>
      <c r="K290" s="1">
        <v>40</v>
      </c>
      <c r="L290" s="1">
        <v>0</v>
      </c>
      <c r="M290" s="1">
        <v>720</v>
      </c>
      <c r="N290" s="1">
        <v>720</v>
      </c>
      <c r="O290" s="1">
        <v>414</v>
      </c>
      <c r="P290" s="1">
        <v>306</v>
      </c>
      <c r="Q290" s="1" t="s">
        <v>73</v>
      </c>
      <c r="R290" s="1" t="s">
        <v>38</v>
      </c>
      <c r="S290" s="1" t="s">
        <v>29</v>
      </c>
    </row>
    <row r="291" spans="1:19" x14ac:dyDescent="0.3">
      <c r="A291" s="1" t="s">
        <v>390</v>
      </c>
      <c r="B291" s="2">
        <v>46270</v>
      </c>
      <c r="C291" s="1" t="s">
        <v>20</v>
      </c>
      <c r="D291" s="1" t="s">
        <v>21</v>
      </c>
      <c r="E291" s="1" t="s">
        <v>22</v>
      </c>
      <c r="F291" s="1" t="s">
        <v>23</v>
      </c>
      <c r="G291" s="1" t="s">
        <v>24</v>
      </c>
      <c r="H291" s="1" t="s">
        <v>25</v>
      </c>
      <c r="I291" s="1">
        <v>37</v>
      </c>
      <c r="J291" s="1" t="s">
        <v>26</v>
      </c>
      <c r="K291" s="1">
        <v>85</v>
      </c>
      <c r="L291" s="1">
        <v>0.02</v>
      </c>
      <c r="M291" s="1">
        <v>3145</v>
      </c>
      <c r="N291" s="1">
        <v>3082.1</v>
      </c>
      <c r="O291" s="1">
        <v>1887</v>
      </c>
      <c r="P291" s="1">
        <v>1195.0999999999999</v>
      </c>
      <c r="Q291" s="1" t="s">
        <v>73</v>
      </c>
      <c r="R291" s="1" t="s">
        <v>67</v>
      </c>
      <c r="S291" s="1" t="s">
        <v>63</v>
      </c>
    </row>
    <row r="292" spans="1:19" x14ac:dyDescent="0.3">
      <c r="A292" s="1" t="s">
        <v>391</v>
      </c>
      <c r="B292" s="2">
        <v>46271</v>
      </c>
      <c r="C292" s="1" t="s">
        <v>88</v>
      </c>
      <c r="D292" s="1" t="s">
        <v>89</v>
      </c>
      <c r="E292" s="1" t="s">
        <v>62</v>
      </c>
      <c r="F292" s="1" t="s">
        <v>127</v>
      </c>
      <c r="G292" s="1" t="s">
        <v>128</v>
      </c>
      <c r="H292" s="1" t="s">
        <v>129</v>
      </c>
      <c r="I292" s="1">
        <v>58</v>
      </c>
      <c r="J292" s="1" t="s">
        <v>37</v>
      </c>
      <c r="K292" s="1">
        <v>20</v>
      </c>
      <c r="L292" s="1">
        <v>0.02</v>
      </c>
      <c r="M292" s="1">
        <v>1160</v>
      </c>
      <c r="N292" s="1">
        <v>1136.8</v>
      </c>
      <c r="O292" s="1">
        <v>638</v>
      </c>
      <c r="P292" s="1">
        <v>498.8</v>
      </c>
      <c r="Q292" s="1" t="s">
        <v>54</v>
      </c>
      <c r="R292" s="1" t="s">
        <v>28</v>
      </c>
      <c r="S292" s="1" t="s">
        <v>68</v>
      </c>
    </row>
    <row r="293" spans="1:19" x14ac:dyDescent="0.3">
      <c r="A293" s="1" t="s">
        <v>392</v>
      </c>
      <c r="B293" s="2">
        <v>46280</v>
      </c>
      <c r="C293" s="1" t="s">
        <v>88</v>
      </c>
      <c r="D293" s="1" t="s">
        <v>89</v>
      </c>
      <c r="E293" s="1" t="s">
        <v>62</v>
      </c>
      <c r="F293" s="1" t="s">
        <v>50</v>
      </c>
      <c r="G293" s="1" t="s">
        <v>51</v>
      </c>
      <c r="H293" s="1" t="s">
        <v>52</v>
      </c>
      <c r="I293" s="1">
        <v>218</v>
      </c>
      <c r="J293" s="1" t="s">
        <v>37</v>
      </c>
      <c r="K293" s="1">
        <v>20</v>
      </c>
      <c r="L293" s="1">
        <v>0</v>
      </c>
      <c r="M293" s="1">
        <v>4360</v>
      </c>
      <c r="N293" s="1">
        <v>4360</v>
      </c>
      <c r="O293" s="1">
        <v>2398</v>
      </c>
      <c r="P293" s="1">
        <v>1962</v>
      </c>
      <c r="Q293" s="1" t="s">
        <v>27</v>
      </c>
      <c r="R293" s="1" t="s">
        <v>38</v>
      </c>
      <c r="S293" s="1" t="s">
        <v>68</v>
      </c>
    </row>
    <row r="294" spans="1:19" x14ac:dyDescent="0.3">
      <c r="A294" s="1" t="s">
        <v>393</v>
      </c>
      <c r="B294" s="2">
        <v>46277</v>
      </c>
      <c r="C294" s="1" t="s">
        <v>82</v>
      </c>
      <c r="D294" s="1" t="s">
        <v>83</v>
      </c>
      <c r="E294" s="1" t="s">
        <v>33</v>
      </c>
      <c r="F294" s="1" t="s">
        <v>42</v>
      </c>
      <c r="G294" s="1" t="s">
        <v>43</v>
      </c>
      <c r="H294" s="1" t="s">
        <v>44</v>
      </c>
      <c r="I294" s="1">
        <v>180</v>
      </c>
      <c r="J294" s="1" t="s">
        <v>37</v>
      </c>
      <c r="K294" s="1">
        <v>35</v>
      </c>
      <c r="L294" s="1">
        <v>0</v>
      </c>
      <c r="M294" s="1">
        <v>6300</v>
      </c>
      <c r="N294" s="1">
        <v>6300</v>
      </c>
      <c r="O294" s="1">
        <v>3600</v>
      </c>
      <c r="P294" s="1">
        <v>2700</v>
      </c>
      <c r="Q294" s="1" t="s">
        <v>45</v>
      </c>
      <c r="R294" s="1" t="s">
        <v>38</v>
      </c>
      <c r="S294" s="1" t="s">
        <v>63</v>
      </c>
    </row>
    <row r="295" spans="1:19" x14ac:dyDescent="0.3">
      <c r="A295" s="1" t="s">
        <v>394</v>
      </c>
      <c r="B295" s="2">
        <v>46284</v>
      </c>
      <c r="C295" s="1" t="s">
        <v>106</v>
      </c>
      <c r="D295" s="1" t="s">
        <v>107</v>
      </c>
      <c r="E295" s="1" t="s">
        <v>108</v>
      </c>
      <c r="F295" s="1" t="s">
        <v>97</v>
      </c>
      <c r="G295" s="1" t="s">
        <v>98</v>
      </c>
      <c r="H295" s="1" t="s">
        <v>94</v>
      </c>
      <c r="I295" s="1">
        <v>58</v>
      </c>
      <c r="J295" s="1" t="s">
        <v>37</v>
      </c>
      <c r="K295" s="1">
        <v>15</v>
      </c>
      <c r="L295" s="1">
        <v>0.03</v>
      </c>
      <c r="M295" s="1">
        <v>870</v>
      </c>
      <c r="N295" s="1">
        <v>843.9</v>
      </c>
      <c r="O295" s="1">
        <v>493</v>
      </c>
      <c r="P295" s="1">
        <v>350.9</v>
      </c>
      <c r="Q295" s="1" t="s">
        <v>73</v>
      </c>
      <c r="R295" s="1" t="s">
        <v>38</v>
      </c>
      <c r="S295" s="1" t="s">
        <v>29</v>
      </c>
    </row>
    <row r="296" spans="1:19" x14ac:dyDescent="0.3">
      <c r="A296" s="1" t="s">
        <v>395</v>
      </c>
      <c r="B296" s="2">
        <v>46267</v>
      </c>
      <c r="C296" s="1" t="s">
        <v>65</v>
      </c>
      <c r="D296" s="1" t="s">
        <v>66</v>
      </c>
      <c r="E296" s="1" t="s">
        <v>49</v>
      </c>
      <c r="F296" s="1" t="s">
        <v>42</v>
      </c>
      <c r="G296" s="1" t="s">
        <v>43</v>
      </c>
      <c r="H296" s="1" t="s">
        <v>44</v>
      </c>
      <c r="I296" s="1">
        <v>25</v>
      </c>
      <c r="J296" s="1" t="s">
        <v>53</v>
      </c>
      <c r="K296" s="1">
        <v>25</v>
      </c>
      <c r="L296" s="1">
        <v>0</v>
      </c>
      <c r="M296" s="1">
        <v>625</v>
      </c>
      <c r="N296" s="1">
        <v>625</v>
      </c>
      <c r="O296" s="1">
        <v>355</v>
      </c>
      <c r="P296" s="1">
        <v>270</v>
      </c>
      <c r="Q296" s="1" t="s">
        <v>54</v>
      </c>
      <c r="R296" s="1" t="s">
        <v>38</v>
      </c>
      <c r="S296" s="1" t="s">
        <v>29</v>
      </c>
    </row>
    <row r="297" spans="1:19" x14ac:dyDescent="0.3">
      <c r="A297" s="1" t="s">
        <v>396</v>
      </c>
      <c r="B297" s="2">
        <v>46280</v>
      </c>
      <c r="C297" s="1" t="s">
        <v>76</v>
      </c>
      <c r="D297" s="1" t="s">
        <v>77</v>
      </c>
      <c r="E297" s="1" t="s">
        <v>33</v>
      </c>
      <c r="F297" s="1" t="s">
        <v>70</v>
      </c>
      <c r="G297" s="1" t="s">
        <v>71</v>
      </c>
      <c r="H297" s="1" t="s">
        <v>72</v>
      </c>
      <c r="I297" s="1">
        <v>44</v>
      </c>
      <c r="J297" s="1" t="s">
        <v>37</v>
      </c>
      <c r="K297" s="1">
        <v>20</v>
      </c>
      <c r="L297" s="1">
        <v>0</v>
      </c>
      <c r="M297" s="1">
        <v>880</v>
      </c>
      <c r="N297" s="1">
        <v>880</v>
      </c>
      <c r="O297" s="1">
        <v>519.20000000000005</v>
      </c>
      <c r="P297" s="1">
        <v>360.8</v>
      </c>
      <c r="Q297" s="1" t="s">
        <v>73</v>
      </c>
      <c r="R297" s="1" t="s">
        <v>28</v>
      </c>
      <c r="S297" s="1" t="s">
        <v>68</v>
      </c>
    </row>
    <row r="298" spans="1:19" x14ac:dyDescent="0.3">
      <c r="A298" s="1" t="s">
        <v>397</v>
      </c>
      <c r="B298" s="2">
        <v>46289</v>
      </c>
      <c r="C298" s="1" t="s">
        <v>65</v>
      </c>
      <c r="D298" s="1" t="s">
        <v>66</v>
      </c>
      <c r="E298" s="1" t="s">
        <v>49</v>
      </c>
      <c r="F298" s="1" t="s">
        <v>97</v>
      </c>
      <c r="G298" s="1" t="s">
        <v>98</v>
      </c>
      <c r="H298" s="1" t="s">
        <v>94</v>
      </c>
      <c r="I298" s="1">
        <v>168</v>
      </c>
      <c r="J298" s="1" t="s">
        <v>53</v>
      </c>
      <c r="K298" s="1">
        <v>25</v>
      </c>
      <c r="L298" s="1">
        <v>0</v>
      </c>
      <c r="M298" s="1">
        <v>4200</v>
      </c>
      <c r="N298" s="1">
        <v>4200</v>
      </c>
      <c r="O298" s="1">
        <v>2385.6</v>
      </c>
      <c r="P298" s="1">
        <v>1814.4</v>
      </c>
      <c r="Q298" s="1" t="s">
        <v>73</v>
      </c>
      <c r="R298" s="1" t="s">
        <v>38</v>
      </c>
      <c r="S298" s="1" t="s">
        <v>29</v>
      </c>
    </row>
    <row r="299" spans="1:19" x14ac:dyDescent="0.3">
      <c r="A299" s="1" t="s">
        <v>398</v>
      </c>
      <c r="B299" s="2">
        <v>46266</v>
      </c>
      <c r="C299" s="1" t="s">
        <v>31</v>
      </c>
      <c r="D299" s="1" t="s">
        <v>32</v>
      </c>
      <c r="E299" s="1" t="s">
        <v>33</v>
      </c>
      <c r="F299" s="1" t="s">
        <v>112</v>
      </c>
      <c r="G299" s="1" t="s">
        <v>113</v>
      </c>
      <c r="H299" s="1" t="s">
        <v>114</v>
      </c>
      <c r="I299" s="1">
        <v>62</v>
      </c>
      <c r="J299" s="1" t="s">
        <v>37</v>
      </c>
      <c r="K299" s="1">
        <v>50</v>
      </c>
      <c r="L299" s="1">
        <v>0</v>
      </c>
      <c r="M299" s="1">
        <v>3100</v>
      </c>
      <c r="N299" s="1">
        <v>3100</v>
      </c>
      <c r="O299" s="1">
        <v>1798</v>
      </c>
      <c r="P299" s="1">
        <v>1302</v>
      </c>
      <c r="Q299" s="1" t="s">
        <v>45</v>
      </c>
      <c r="R299" s="1" t="s">
        <v>38</v>
      </c>
      <c r="S299" s="1" t="s">
        <v>29</v>
      </c>
    </row>
    <row r="300" spans="1:19" x14ac:dyDescent="0.3">
      <c r="A300" s="1" t="s">
        <v>399</v>
      </c>
      <c r="B300" s="2">
        <v>46291</v>
      </c>
      <c r="C300" s="1" t="s">
        <v>20</v>
      </c>
      <c r="D300" s="1" t="s">
        <v>21</v>
      </c>
      <c r="E300" s="1" t="s">
        <v>22</v>
      </c>
      <c r="F300" s="1" t="s">
        <v>34</v>
      </c>
      <c r="G300" s="1" t="s">
        <v>35</v>
      </c>
      <c r="H300" s="1" t="s">
        <v>36</v>
      </c>
      <c r="I300" s="1">
        <v>59</v>
      </c>
      <c r="J300" s="1" t="s">
        <v>26</v>
      </c>
      <c r="K300" s="1">
        <v>85</v>
      </c>
      <c r="L300" s="1">
        <v>0.05</v>
      </c>
      <c r="M300" s="1">
        <v>5015</v>
      </c>
      <c r="N300" s="1">
        <v>4764.25</v>
      </c>
      <c r="O300" s="1">
        <v>3009</v>
      </c>
      <c r="P300" s="1">
        <v>1755.25</v>
      </c>
      <c r="Q300" s="1" t="s">
        <v>73</v>
      </c>
      <c r="R300" s="1" t="s">
        <v>38</v>
      </c>
      <c r="S300" s="1" t="s">
        <v>29</v>
      </c>
    </row>
    <row r="301" spans="1:19" x14ac:dyDescent="0.3">
      <c r="A301" s="1" t="s">
        <v>400</v>
      </c>
      <c r="B301" s="2">
        <v>46277</v>
      </c>
      <c r="C301" s="1" t="s">
        <v>82</v>
      </c>
      <c r="D301" s="1" t="s">
        <v>83</v>
      </c>
      <c r="E301" s="1" t="s">
        <v>33</v>
      </c>
      <c r="F301" s="1" t="s">
        <v>112</v>
      </c>
      <c r="G301" s="1" t="s">
        <v>113</v>
      </c>
      <c r="H301" s="1" t="s">
        <v>114</v>
      </c>
      <c r="I301" s="1">
        <v>189</v>
      </c>
      <c r="J301" s="1" t="s">
        <v>37</v>
      </c>
      <c r="K301" s="1">
        <v>35</v>
      </c>
      <c r="L301" s="1">
        <v>0.03</v>
      </c>
      <c r="M301" s="1">
        <v>6615</v>
      </c>
      <c r="N301" s="1">
        <v>6416.55</v>
      </c>
      <c r="O301" s="1">
        <v>3780</v>
      </c>
      <c r="P301" s="1">
        <v>2636.55</v>
      </c>
      <c r="Q301" s="1" t="s">
        <v>73</v>
      </c>
      <c r="R301" s="1" t="s">
        <v>67</v>
      </c>
      <c r="S301" s="1" t="s">
        <v>29</v>
      </c>
    </row>
    <row r="302" spans="1:19" x14ac:dyDescent="0.3">
      <c r="A302" s="1" t="s">
        <v>401</v>
      </c>
      <c r="B302" s="2">
        <v>46292</v>
      </c>
      <c r="C302" s="1" t="s">
        <v>106</v>
      </c>
      <c r="D302" s="1" t="s">
        <v>107</v>
      </c>
      <c r="E302" s="1" t="s">
        <v>108</v>
      </c>
      <c r="F302" s="1" t="s">
        <v>84</v>
      </c>
      <c r="G302" s="1" t="s">
        <v>85</v>
      </c>
      <c r="H302" s="1" t="s">
        <v>86</v>
      </c>
      <c r="I302" s="1">
        <v>161</v>
      </c>
      <c r="J302" s="1" t="s">
        <v>37</v>
      </c>
      <c r="K302" s="1">
        <v>15</v>
      </c>
      <c r="L302" s="1">
        <v>0</v>
      </c>
      <c r="M302" s="1">
        <v>2415</v>
      </c>
      <c r="N302" s="1">
        <v>2415</v>
      </c>
      <c r="O302" s="1">
        <v>1368.5</v>
      </c>
      <c r="P302" s="1">
        <v>1046.5</v>
      </c>
      <c r="Q302" s="1" t="s">
        <v>27</v>
      </c>
      <c r="R302" s="1" t="s">
        <v>28</v>
      </c>
      <c r="S302" s="1" t="s">
        <v>63</v>
      </c>
    </row>
    <row r="303" spans="1:19" x14ac:dyDescent="0.3">
      <c r="A303" s="1" t="s">
        <v>402</v>
      </c>
      <c r="B303" s="2">
        <v>46295</v>
      </c>
      <c r="C303" s="1" t="s">
        <v>31</v>
      </c>
      <c r="D303" s="1" t="s">
        <v>32</v>
      </c>
      <c r="E303" s="1" t="s">
        <v>33</v>
      </c>
      <c r="F303" s="1" t="s">
        <v>101</v>
      </c>
      <c r="G303" s="1" t="s">
        <v>102</v>
      </c>
      <c r="H303" s="1" t="s">
        <v>103</v>
      </c>
      <c r="I303" s="1">
        <v>181</v>
      </c>
      <c r="J303" s="1" t="s">
        <v>37</v>
      </c>
      <c r="K303" s="1">
        <v>50</v>
      </c>
      <c r="L303" s="1">
        <v>0.05</v>
      </c>
      <c r="M303" s="1">
        <v>9050</v>
      </c>
      <c r="N303" s="1">
        <v>8597.5</v>
      </c>
      <c r="O303" s="1">
        <v>5249</v>
      </c>
      <c r="P303" s="1">
        <v>3348.5</v>
      </c>
      <c r="Q303" s="1" t="s">
        <v>73</v>
      </c>
      <c r="R303" s="1" t="s">
        <v>38</v>
      </c>
      <c r="S303" s="1" t="s">
        <v>63</v>
      </c>
    </row>
    <row r="304" spans="1:19" x14ac:dyDescent="0.3">
      <c r="A304" s="1" t="s">
        <v>403</v>
      </c>
      <c r="B304" s="2">
        <v>46278</v>
      </c>
      <c r="C304" s="1" t="s">
        <v>65</v>
      </c>
      <c r="D304" s="1" t="s">
        <v>66</v>
      </c>
      <c r="E304" s="1" t="s">
        <v>49</v>
      </c>
      <c r="F304" s="1" t="s">
        <v>84</v>
      </c>
      <c r="G304" s="1" t="s">
        <v>85</v>
      </c>
      <c r="H304" s="1" t="s">
        <v>86</v>
      </c>
      <c r="I304" s="1">
        <v>168</v>
      </c>
      <c r="J304" s="1" t="s">
        <v>53</v>
      </c>
      <c r="K304" s="1">
        <v>25</v>
      </c>
      <c r="L304" s="1">
        <v>0</v>
      </c>
      <c r="M304" s="1">
        <v>4200</v>
      </c>
      <c r="N304" s="1">
        <v>4200</v>
      </c>
      <c r="O304" s="1">
        <v>2385.6</v>
      </c>
      <c r="P304" s="1">
        <v>1814.4</v>
      </c>
      <c r="Q304" s="1" t="s">
        <v>45</v>
      </c>
      <c r="R304" s="1" t="s">
        <v>38</v>
      </c>
      <c r="S304" s="1" t="s">
        <v>68</v>
      </c>
    </row>
    <row r="305" spans="1:19" x14ac:dyDescent="0.3">
      <c r="A305" s="1" t="s">
        <v>404</v>
      </c>
      <c r="B305" s="2">
        <v>46279</v>
      </c>
      <c r="C305" s="1" t="s">
        <v>60</v>
      </c>
      <c r="D305" s="1" t="s">
        <v>61</v>
      </c>
      <c r="E305" s="1" t="s">
        <v>62</v>
      </c>
      <c r="F305" s="1" t="s">
        <v>56</v>
      </c>
      <c r="G305" s="1" t="s">
        <v>57</v>
      </c>
      <c r="H305" s="1" t="s">
        <v>58</v>
      </c>
      <c r="I305" s="1">
        <v>207</v>
      </c>
      <c r="J305" s="1" t="s">
        <v>37</v>
      </c>
      <c r="K305" s="1">
        <v>40</v>
      </c>
      <c r="L305" s="1">
        <v>0.05</v>
      </c>
      <c r="M305" s="1">
        <v>8280</v>
      </c>
      <c r="N305" s="1">
        <v>7866</v>
      </c>
      <c r="O305" s="1">
        <v>4761</v>
      </c>
      <c r="P305" s="1">
        <v>3105</v>
      </c>
      <c r="Q305" s="1" t="s">
        <v>45</v>
      </c>
      <c r="R305" s="1" t="s">
        <v>28</v>
      </c>
      <c r="S305" s="1" t="s">
        <v>68</v>
      </c>
    </row>
    <row r="306" spans="1:19" x14ac:dyDescent="0.3">
      <c r="A306" s="1" t="s">
        <v>405</v>
      </c>
      <c r="B306" s="2">
        <v>46283</v>
      </c>
      <c r="C306" s="1" t="s">
        <v>106</v>
      </c>
      <c r="D306" s="1" t="s">
        <v>107</v>
      </c>
      <c r="E306" s="1" t="s">
        <v>108</v>
      </c>
      <c r="F306" s="1" t="s">
        <v>112</v>
      </c>
      <c r="G306" s="1" t="s">
        <v>113</v>
      </c>
      <c r="H306" s="1" t="s">
        <v>114</v>
      </c>
      <c r="I306" s="1">
        <v>78</v>
      </c>
      <c r="J306" s="1" t="s">
        <v>37</v>
      </c>
      <c r="K306" s="1">
        <v>15</v>
      </c>
      <c r="L306" s="1">
        <v>0.02</v>
      </c>
      <c r="M306" s="1">
        <v>1170</v>
      </c>
      <c r="N306" s="1">
        <v>1146.5999999999999</v>
      </c>
      <c r="O306" s="1">
        <v>663</v>
      </c>
      <c r="P306" s="1">
        <v>483.6</v>
      </c>
      <c r="Q306" s="1" t="s">
        <v>27</v>
      </c>
      <c r="R306" s="1" t="s">
        <v>38</v>
      </c>
      <c r="S306" s="1" t="s">
        <v>29</v>
      </c>
    </row>
    <row r="307" spans="1:19" x14ac:dyDescent="0.3">
      <c r="A307" s="1" t="s">
        <v>406</v>
      </c>
      <c r="B307" s="2">
        <v>46279</v>
      </c>
      <c r="C307" s="1" t="s">
        <v>20</v>
      </c>
      <c r="D307" s="1" t="s">
        <v>21</v>
      </c>
      <c r="E307" s="1" t="s">
        <v>22</v>
      </c>
      <c r="F307" s="1" t="s">
        <v>97</v>
      </c>
      <c r="G307" s="1" t="s">
        <v>98</v>
      </c>
      <c r="H307" s="1" t="s">
        <v>94</v>
      </c>
      <c r="I307" s="1">
        <v>144</v>
      </c>
      <c r="J307" s="1" t="s">
        <v>26</v>
      </c>
      <c r="K307" s="1">
        <v>85</v>
      </c>
      <c r="L307" s="1">
        <v>0.03</v>
      </c>
      <c r="M307" s="1">
        <v>12240</v>
      </c>
      <c r="N307" s="1">
        <v>11872.8</v>
      </c>
      <c r="O307" s="1">
        <v>7344</v>
      </c>
      <c r="P307" s="1">
        <v>4528.8</v>
      </c>
      <c r="Q307" s="1" t="s">
        <v>54</v>
      </c>
      <c r="R307" s="1" t="s">
        <v>28</v>
      </c>
      <c r="S307" s="1" t="s">
        <v>68</v>
      </c>
    </row>
    <row r="308" spans="1:19" x14ac:dyDescent="0.3">
      <c r="A308" s="1" t="s">
        <v>407</v>
      </c>
      <c r="B308" s="2">
        <v>46289</v>
      </c>
      <c r="C308" s="1" t="s">
        <v>20</v>
      </c>
      <c r="D308" s="1" t="s">
        <v>21</v>
      </c>
      <c r="E308" s="1" t="s">
        <v>22</v>
      </c>
      <c r="F308" s="1" t="s">
        <v>23</v>
      </c>
      <c r="G308" s="1" t="s">
        <v>24</v>
      </c>
      <c r="H308" s="1" t="s">
        <v>25</v>
      </c>
      <c r="I308" s="1">
        <v>17</v>
      </c>
      <c r="J308" s="1" t="s">
        <v>26</v>
      </c>
      <c r="K308" s="1">
        <v>85</v>
      </c>
      <c r="L308" s="1">
        <v>0.05</v>
      </c>
      <c r="M308" s="1">
        <v>1445</v>
      </c>
      <c r="N308" s="1">
        <v>1372.75</v>
      </c>
      <c r="O308" s="1">
        <v>867</v>
      </c>
      <c r="P308" s="1">
        <v>505.75</v>
      </c>
      <c r="Q308" s="1" t="s">
        <v>45</v>
      </c>
      <c r="R308" s="1" t="s">
        <v>38</v>
      </c>
      <c r="S308" s="1" t="s">
        <v>63</v>
      </c>
    </row>
    <row r="309" spans="1:19" x14ac:dyDescent="0.3">
      <c r="A309" s="1" t="s">
        <v>408</v>
      </c>
      <c r="B309" s="2">
        <v>46266</v>
      </c>
      <c r="C309" s="1" t="s">
        <v>106</v>
      </c>
      <c r="D309" s="1" t="s">
        <v>107</v>
      </c>
      <c r="E309" s="1" t="s">
        <v>108</v>
      </c>
      <c r="F309" s="1" t="s">
        <v>23</v>
      </c>
      <c r="G309" s="1" t="s">
        <v>24</v>
      </c>
      <c r="H309" s="1" t="s">
        <v>25</v>
      </c>
      <c r="I309" s="1">
        <v>171</v>
      </c>
      <c r="J309" s="1" t="s">
        <v>37</v>
      </c>
      <c r="K309" s="1">
        <v>15</v>
      </c>
      <c r="L309" s="1">
        <v>0</v>
      </c>
      <c r="M309" s="1">
        <v>2565</v>
      </c>
      <c r="N309" s="1">
        <v>2565</v>
      </c>
      <c r="O309" s="1">
        <v>1453.5</v>
      </c>
      <c r="P309" s="1">
        <v>1111.5</v>
      </c>
      <c r="Q309" s="1" t="s">
        <v>73</v>
      </c>
      <c r="R309" s="1" t="s">
        <v>38</v>
      </c>
      <c r="S309" s="1" t="s">
        <v>29</v>
      </c>
    </row>
    <row r="310" spans="1:19" x14ac:dyDescent="0.3">
      <c r="A310" s="1" t="s">
        <v>409</v>
      </c>
      <c r="B310" s="2">
        <v>46274</v>
      </c>
      <c r="C310" s="1" t="s">
        <v>65</v>
      </c>
      <c r="D310" s="1" t="s">
        <v>66</v>
      </c>
      <c r="E310" s="1" t="s">
        <v>49</v>
      </c>
      <c r="F310" s="1" t="s">
        <v>112</v>
      </c>
      <c r="G310" s="1" t="s">
        <v>113</v>
      </c>
      <c r="H310" s="1" t="s">
        <v>114</v>
      </c>
      <c r="I310" s="1">
        <v>27</v>
      </c>
      <c r="J310" s="1" t="s">
        <v>53</v>
      </c>
      <c r="K310" s="1">
        <v>25</v>
      </c>
      <c r="L310" s="1">
        <v>0.02</v>
      </c>
      <c r="M310" s="1">
        <v>675</v>
      </c>
      <c r="N310" s="1">
        <v>661.5</v>
      </c>
      <c r="O310" s="1">
        <v>383.4</v>
      </c>
      <c r="P310" s="1">
        <v>278.10000000000002</v>
      </c>
      <c r="Q310" s="1" t="s">
        <v>73</v>
      </c>
      <c r="R310" s="1" t="s">
        <v>38</v>
      </c>
      <c r="S310" s="1" t="s">
        <v>68</v>
      </c>
    </row>
    <row r="311" spans="1:19" x14ac:dyDescent="0.3">
      <c r="A311" s="1" t="s">
        <v>410</v>
      </c>
      <c r="B311" s="2">
        <v>46284</v>
      </c>
      <c r="C311" s="1" t="s">
        <v>106</v>
      </c>
      <c r="D311" s="1" t="s">
        <v>107</v>
      </c>
      <c r="E311" s="1" t="s">
        <v>108</v>
      </c>
      <c r="F311" s="1" t="s">
        <v>112</v>
      </c>
      <c r="G311" s="1" t="s">
        <v>113</v>
      </c>
      <c r="H311" s="1" t="s">
        <v>114</v>
      </c>
      <c r="I311" s="1">
        <v>27</v>
      </c>
      <c r="J311" s="1" t="s">
        <v>37</v>
      </c>
      <c r="K311" s="1">
        <v>15</v>
      </c>
      <c r="L311" s="1">
        <v>0</v>
      </c>
      <c r="M311" s="1">
        <v>405</v>
      </c>
      <c r="N311" s="1">
        <v>405</v>
      </c>
      <c r="O311" s="1">
        <v>229.5</v>
      </c>
      <c r="P311" s="1">
        <v>175.5</v>
      </c>
      <c r="Q311" s="1" t="s">
        <v>27</v>
      </c>
      <c r="R311" s="1" t="s">
        <v>28</v>
      </c>
      <c r="S311" s="1" t="s">
        <v>63</v>
      </c>
    </row>
    <row r="312" spans="1:19" x14ac:dyDescent="0.3">
      <c r="A312" s="1" t="s">
        <v>411</v>
      </c>
      <c r="B312" s="2">
        <v>46281</v>
      </c>
      <c r="C312" s="1" t="s">
        <v>20</v>
      </c>
      <c r="D312" s="1" t="s">
        <v>21</v>
      </c>
      <c r="E312" s="1" t="s">
        <v>22</v>
      </c>
      <c r="F312" s="1" t="s">
        <v>34</v>
      </c>
      <c r="G312" s="1" t="s">
        <v>35</v>
      </c>
      <c r="H312" s="1" t="s">
        <v>36</v>
      </c>
      <c r="I312" s="1">
        <v>210</v>
      </c>
      <c r="J312" s="1" t="s">
        <v>26</v>
      </c>
      <c r="K312" s="1">
        <v>85</v>
      </c>
      <c r="L312" s="1">
        <v>0.02</v>
      </c>
      <c r="M312" s="1">
        <v>17850</v>
      </c>
      <c r="N312" s="1">
        <v>17493</v>
      </c>
      <c r="O312" s="1">
        <v>10710</v>
      </c>
      <c r="P312" s="1">
        <v>6783</v>
      </c>
      <c r="Q312" s="1" t="s">
        <v>54</v>
      </c>
      <c r="R312" s="1" t="s">
        <v>28</v>
      </c>
      <c r="S312" s="1" t="s">
        <v>68</v>
      </c>
    </row>
    <row r="313" spans="1:19" x14ac:dyDescent="0.3">
      <c r="A313" s="1" t="s">
        <v>412</v>
      </c>
      <c r="B313" s="2">
        <v>46272</v>
      </c>
      <c r="C313" s="1" t="s">
        <v>76</v>
      </c>
      <c r="D313" s="1" t="s">
        <v>77</v>
      </c>
      <c r="E313" s="1" t="s">
        <v>33</v>
      </c>
      <c r="F313" s="1" t="s">
        <v>42</v>
      </c>
      <c r="G313" s="1" t="s">
        <v>43</v>
      </c>
      <c r="H313" s="1" t="s">
        <v>44</v>
      </c>
      <c r="I313" s="1">
        <v>90</v>
      </c>
      <c r="J313" s="1" t="s">
        <v>37</v>
      </c>
      <c r="K313" s="1">
        <v>20</v>
      </c>
      <c r="L313" s="1">
        <v>0.02</v>
      </c>
      <c r="M313" s="1">
        <v>1800</v>
      </c>
      <c r="N313" s="1">
        <v>1764</v>
      </c>
      <c r="O313" s="1">
        <v>1062</v>
      </c>
      <c r="P313" s="1">
        <v>702</v>
      </c>
      <c r="Q313" s="1" t="s">
        <v>73</v>
      </c>
      <c r="R313" s="1" t="s">
        <v>38</v>
      </c>
      <c r="S313" s="1" t="s">
        <v>29</v>
      </c>
    </row>
    <row r="314" spans="1:19" x14ac:dyDescent="0.3">
      <c r="A314" s="1" t="s">
        <v>413</v>
      </c>
      <c r="B314" s="2">
        <v>46276</v>
      </c>
      <c r="C314" s="1" t="s">
        <v>20</v>
      </c>
      <c r="D314" s="1" t="s">
        <v>21</v>
      </c>
      <c r="E314" s="1" t="s">
        <v>22</v>
      </c>
      <c r="F314" s="1" t="s">
        <v>112</v>
      </c>
      <c r="G314" s="1" t="s">
        <v>113</v>
      </c>
      <c r="H314" s="1" t="s">
        <v>114</v>
      </c>
      <c r="I314" s="1">
        <v>117</v>
      </c>
      <c r="J314" s="1" t="s">
        <v>26</v>
      </c>
      <c r="K314" s="1">
        <v>85</v>
      </c>
      <c r="L314" s="1">
        <v>0.05</v>
      </c>
      <c r="M314" s="1">
        <v>9945</v>
      </c>
      <c r="N314" s="1">
        <v>9447.75</v>
      </c>
      <c r="O314" s="1">
        <v>5967</v>
      </c>
      <c r="P314" s="1">
        <v>3480.75</v>
      </c>
      <c r="Q314" s="1" t="s">
        <v>27</v>
      </c>
      <c r="R314" s="1" t="s">
        <v>38</v>
      </c>
      <c r="S314" s="1" t="s">
        <v>63</v>
      </c>
    </row>
    <row r="315" spans="1:19" x14ac:dyDescent="0.3">
      <c r="A315" s="1" t="s">
        <v>414</v>
      </c>
      <c r="B315" s="2">
        <v>46266</v>
      </c>
      <c r="C315" s="1" t="s">
        <v>76</v>
      </c>
      <c r="D315" s="1" t="s">
        <v>77</v>
      </c>
      <c r="E315" s="1" t="s">
        <v>33</v>
      </c>
      <c r="F315" s="1" t="s">
        <v>142</v>
      </c>
      <c r="G315" s="1" t="s">
        <v>143</v>
      </c>
      <c r="H315" s="1" t="s">
        <v>144</v>
      </c>
      <c r="I315" s="1">
        <v>216</v>
      </c>
      <c r="J315" s="1" t="s">
        <v>37</v>
      </c>
      <c r="K315" s="1">
        <v>20</v>
      </c>
      <c r="L315" s="1">
        <v>0.02</v>
      </c>
      <c r="M315" s="1">
        <v>4320</v>
      </c>
      <c r="N315" s="1">
        <v>4233.6000000000004</v>
      </c>
      <c r="O315" s="1">
        <v>2548.8000000000002</v>
      </c>
      <c r="P315" s="1">
        <v>1684.8</v>
      </c>
      <c r="Q315" s="1" t="s">
        <v>73</v>
      </c>
      <c r="R315" s="1" t="s">
        <v>38</v>
      </c>
      <c r="S315" s="1" t="s">
        <v>29</v>
      </c>
    </row>
    <row r="316" spans="1:19" x14ac:dyDescent="0.3">
      <c r="A316" s="1" t="s">
        <v>415</v>
      </c>
      <c r="B316" s="2">
        <v>46269</v>
      </c>
      <c r="C316" s="1" t="s">
        <v>47</v>
      </c>
      <c r="D316" s="1" t="s">
        <v>48</v>
      </c>
      <c r="E316" s="1" t="s">
        <v>49</v>
      </c>
      <c r="F316" s="1" t="s">
        <v>34</v>
      </c>
      <c r="G316" s="1" t="s">
        <v>35</v>
      </c>
      <c r="H316" s="1" t="s">
        <v>36</v>
      </c>
      <c r="I316" s="1">
        <v>110</v>
      </c>
      <c r="J316" s="1" t="s">
        <v>53</v>
      </c>
      <c r="K316" s="1">
        <v>25</v>
      </c>
      <c r="L316" s="1">
        <v>0</v>
      </c>
      <c r="M316" s="1">
        <v>2750</v>
      </c>
      <c r="N316" s="1">
        <v>2750</v>
      </c>
      <c r="O316" s="1">
        <v>1540</v>
      </c>
      <c r="P316" s="1">
        <v>1210</v>
      </c>
      <c r="Q316" s="1" t="s">
        <v>45</v>
      </c>
      <c r="R316" s="1" t="s">
        <v>67</v>
      </c>
      <c r="S316" s="1" t="s">
        <v>68</v>
      </c>
    </row>
    <row r="317" spans="1:19" x14ac:dyDescent="0.3">
      <c r="A317" s="1" t="s">
        <v>416</v>
      </c>
      <c r="B317" s="2">
        <v>46285</v>
      </c>
      <c r="C317" s="1" t="s">
        <v>82</v>
      </c>
      <c r="D317" s="1" t="s">
        <v>83</v>
      </c>
      <c r="E317" s="1" t="s">
        <v>33</v>
      </c>
      <c r="F317" s="1" t="s">
        <v>42</v>
      </c>
      <c r="G317" s="1" t="s">
        <v>43</v>
      </c>
      <c r="H317" s="1" t="s">
        <v>44</v>
      </c>
      <c r="I317" s="1">
        <v>210</v>
      </c>
      <c r="J317" s="1" t="s">
        <v>37</v>
      </c>
      <c r="K317" s="1">
        <v>35</v>
      </c>
      <c r="L317" s="1">
        <v>0</v>
      </c>
      <c r="M317" s="1">
        <v>7350</v>
      </c>
      <c r="N317" s="1">
        <v>7350</v>
      </c>
      <c r="O317" s="1">
        <v>4200</v>
      </c>
      <c r="P317" s="1">
        <v>3150</v>
      </c>
      <c r="Q317" s="1" t="s">
        <v>45</v>
      </c>
      <c r="R317" s="1" t="s">
        <v>28</v>
      </c>
      <c r="S317" s="1" t="s">
        <v>68</v>
      </c>
    </row>
    <row r="318" spans="1:19" x14ac:dyDescent="0.3">
      <c r="A318" s="1" t="s">
        <v>417</v>
      </c>
      <c r="B318" s="2">
        <v>46287</v>
      </c>
      <c r="C318" s="1" t="s">
        <v>47</v>
      </c>
      <c r="D318" s="1" t="s">
        <v>48</v>
      </c>
      <c r="E318" s="1" t="s">
        <v>49</v>
      </c>
      <c r="F318" s="1" t="s">
        <v>97</v>
      </c>
      <c r="G318" s="1" t="s">
        <v>98</v>
      </c>
      <c r="H318" s="1" t="s">
        <v>94</v>
      </c>
      <c r="I318" s="1">
        <v>135</v>
      </c>
      <c r="J318" s="1" t="s">
        <v>53</v>
      </c>
      <c r="K318" s="1">
        <v>25</v>
      </c>
      <c r="L318" s="1">
        <v>0</v>
      </c>
      <c r="M318" s="1">
        <v>3375</v>
      </c>
      <c r="N318" s="1">
        <v>3375</v>
      </c>
      <c r="O318" s="1">
        <v>1890</v>
      </c>
      <c r="P318" s="1">
        <v>1485</v>
      </c>
      <c r="Q318" s="1" t="s">
        <v>54</v>
      </c>
      <c r="R318" s="1" t="s">
        <v>38</v>
      </c>
      <c r="S318" s="1" t="s">
        <v>68</v>
      </c>
    </row>
    <row r="319" spans="1:19" x14ac:dyDescent="0.3">
      <c r="A319" s="1" t="s">
        <v>418</v>
      </c>
      <c r="B319" s="2">
        <v>46293</v>
      </c>
      <c r="C319" s="1" t="s">
        <v>20</v>
      </c>
      <c r="D319" s="1" t="s">
        <v>21</v>
      </c>
      <c r="E319" s="1" t="s">
        <v>22</v>
      </c>
      <c r="F319" s="1" t="s">
        <v>70</v>
      </c>
      <c r="G319" s="1" t="s">
        <v>71</v>
      </c>
      <c r="H319" s="1" t="s">
        <v>72</v>
      </c>
      <c r="I319" s="1">
        <v>96</v>
      </c>
      <c r="J319" s="1" t="s">
        <v>26</v>
      </c>
      <c r="K319" s="1">
        <v>85</v>
      </c>
      <c r="L319" s="1">
        <v>0</v>
      </c>
      <c r="M319" s="1">
        <v>8160</v>
      </c>
      <c r="N319" s="1">
        <v>8160</v>
      </c>
      <c r="O319" s="1">
        <v>4896</v>
      </c>
      <c r="P319" s="1">
        <v>3264</v>
      </c>
      <c r="Q319" s="1" t="s">
        <v>27</v>
      </c>
      <c r="R319" s="1" t="s">
        <v>38</v>
      </c>
      <c r="S319" s="1" t="s">
        <v>29</v>
      </c>
    </row>
    <row r="320" spans="1:19" x14ac:dyDescent="0.3">
      <c r="A320" s="1" t="s">
        <v>419</v>
      </c>
      <c r="B320" s="2">
        <v>46270</v>
      </c>
      <c r="C320" s="1" t="s">
        <v>60</v>
      </c>
      <c r="D320" s="1" t="s">
        <v>61</v>
      </c>
      <c r="E320" s="1" t="s">
        <v>62</v>
      </c>
      <c r="F320" s="1" t="s">
        <v>23</v>
      </c>
      <c r="G320" s="1" t="s">
        <v>24</v>
      </c>
      <c r="H320" s="1" t="s">
        <v>25</v>
      </c>
      <c r="I320" s="1">
        <v>30</v>
      </c>
      <c r="J320" s="1" t="s">
        <v>37</v>
      </c>
      <c r="K320" s="1">
        <v>40</v>
      </c>
      <c r="L320" s="1">
        <v>0</v>
      </c>
      <c r="M320" s="1">
        <v>1200</v>
      </c>
      <c r="N320" s="1">
        <v>1200</v>
      </c>
      <c r="O320" s="1">
        <v>690</v>
      </c>
      <c r="P320" s="1">
        <v>510</v>
      </c>
      <c r="Q320" s="1" t="s">
        <v>54</v>
      </c>
      <c r="R320" s="1" t="s">
        <v>38</v>
      </c>
      <c r="S320" s="1" t="s">
        <v>63</v>
      </c>
    </row>
    <row r="321" spans="1:19" x14ac:dyDescent="0.3">
      <c r="A321" s="1" t="s">
        <v>420</v>
      </c>
      <c r="B321" s="2">
        <v>46279</v>
      </c>
      <c r="C321" s="1" t="s">
        <v>106</v>
      </c>
      <c r="D321" s="1" t="s">
        <v>107</v>
      </c>
      <c r="E321" s="1" t="s">
        <v>108</v>
      </c>
      <c r="F321" s="1" t="s">
        <v>34</v>
      </c>
      <c r="G321" s="1" t="s">
        <v>35</v>
      </c>
      <c r="H321" s="1" t="s">
        <v>36</v>
      </c>
      <c r="I321" s="1">
        <v>30</v>
      </c>
      <c r="J321" s="1" t="s">
        <v>37</v>
      </c>
      <c r="K321" s="1">
        <v>15</v>
      </c>
      <c r="L321" s="1">
        <v>0</v>
      </c>
      <c r="M321" s="1">
        <v>450</v>
      </c>
      <c r="N321" s="1">
        <v>450</v>
      </c>
      <c r="O321" s="1">
        <v>255</v>
      </c>
      <c r="P321" s="1">
        <v>195</v>
      </c>
      <c r="Q321" s="1" t="s">
        <v>45</v>
      </c>
      <c r="R321" s="1" t="s">
        <v>67</v>
      </c>
      <c r="S321" s="1" t="s">
        <v>29</v>
      </c>
    </row>
    <row r="322" spans="1:19" x14ac:dyDescent="0.3">
      <c r="A322" s="1" t="s">
        <v>421</v>
      </c>
      <c r="B322" s="2">
        <v>46283</v>
      </c>
      <c r="C322" s="1" t="s">
        <v>47</v>
      </c>
      <c r="D322" s="1" t="s">
        <v>48</v>
      </c>
      <c r="E322" s="1" t="s">
        <v>49</v>
      </c>
      <c r="F322" s="1" t="s">
        <v>50</v>
      </c>
      <c r="G322" s="1" t="s">
        <v>51</v>
      </c>
      <c r="H322" s="1" t="s">
        <v>52</v>
      </c>
      <c r="I322" s="1">
        <v>33</v>
      </c>
      <c r="J322" s="1" t="s">
        <v>53</v>
      </c>
      <c r="K322" s="1">
        <v>25</v>
      </c>
      <c r="L322" s="1">
        <v>0</v>
      </c>
      <c r="M322" s="1">
        <v>825</v>
      </c>
      <c r="N322" s="1">
        <v>825</v>
      </c>
      <c r="O322" s="1">
        <v>462</v>
      </c>
      <c r="P322" s="1">
        <v>363</v>
      </c>
      <c r="Q322" s="1" t="s">
        <v>45</v>
      </c>
      <c r="R322" s="1" t="s">
        <v>67</v>
      </c>
      <c r="S322" s="1" t="s">
        <v>29</v>
      </c>
    </row>
    <row r="323" spans="1:19" x14ac:dyDescent="0.3">
      <c r="A323" s="1" t="s">
        <v>422</v>
      </c>
      <c r="B323" s="2">
        <v>46280</v>
      </c>
      <c r="C323" s="1" t="s">
        <v>40</v>
      </c>
      <c r="D323" s="1" t="s">
        <v>41</v>
      </c>
      <c r="E323" s="1" t="s">
        <v>33</v>
      </c>
      <c r="F323" s="1" t="s">
        <v>116</v>
      </c>
      <c r="G323" s="1" t="s">
        <v>117</v>
      </c>
      <c r="H323" s="1" t="s">
        <v>118</v>
      </c>
      <c r="I323" s="1">
        <v>179</v>
      </c>
      <c r="J323" s="1" t="s">
        <v>37</v>
      </c>
      <c r="K323" s="1">
        <v>20</v>
      </c>
      <c r="L323" s="1">
        <v>0</v>
      </c>
      <c r="M323" s="1">
        <v>3580</v>
      </c>
      <c r="N323" s="1">
        <v>3580</v>
      </c>
      <c r="O323" s="1">
        <v>2058.5</v>
      </c>
      <c r="P323" s="1">
        <v>1521.5</v>
      </c>
      <c r="Q323" s="1" t="s">
        <v>54</v>
      </c>
      <c r="R323" s="1" t="s">
        <v>38</v>
      </c>
      <c r="S323" s="1" t="s">
        <v>63</v>
      </c>
    </row>
    <row r="324" spans="1:19" x14ac:dyDescent="0.3">
      <c r="A324" s="1" t="s">
        <v>423</v>
      </c>
      <c r="B324" s="2">
        <v>46294</v>
      </c>
      <c r="C324" s="1" t="s">
        <v>106</v>
      </c>
      <c r="D324" s="1" t="s">
        <v>107</v>
      </c>
      <c r="E324" s="1" t="s">
        <v>108</v>
      </c>
      <c r="F324" s="1" t="s">
        <v>42</v>
      </c>
      <c r="G324" s="1" t="s">
        <v>43</v>
      </c>
      <c r="H324" s="1" t="s">
        <v>44</v>
      </c>
      <c r="I324" s="1">
        <v>75</v>
      </c>
      <c r="J324" s="1" t="s">
        <v>37</v>
      </c>
      <c r="K324" s="1">
        <v>15</v>
      </c>
      <c r="L324" s="1">
        <v>0.03</v>
      </c>
      <c r="M324" s="1">
        <v>1125</v>
      </c>
      <c r="N324" s="1">
        <v>1091.25</v>
      </c>
      <c r="O324" s="1">
        <v>637.5</v>
      </c>
      <c r="P324" s="1">
        <v>453.75</v>
      </c>
      <c r="Q324" s="1" t="s">
        <v>27</v>
      </c>
      <c r="R324" s="1" t="s">
        <v>28</v>
      </c>
      <c r="S324" s="1" t="s">
        <v>63</v>
      </c>
    </row>
    <row r="325" spans="1:19" x14ac:dyDescent="0.3">
      <c r="A325" s="1" t="s">
        <v>424</v>
      </c>
      <c r="B325" s="2">
        <v>46290</v>
      </c>
      <c r="C325" s="1" t="s">
        <v>47</v>
      </c>
      <c r="D325" s="1" t="s">
        <v>48</v>
      </c>
      <c r="E325" s="1" t="s">
        <v>49</v>
      </c>
      <c r="F325" s="1" t="s">
        <v>101</v>
      </c>
      <c r="G325" s="1" t="s">
        <v>102</v>
      </c>
      <c r="H325" s="1" t="s">
        <v>103</v>
      </c>
      <c r="I325" s="1">
        <v>41</v>
      </c>
      <c r="J325" s="1" t="s">
        <v>53</v>
      </c>
      <c r="K325" s="1">
        <v>25</v>
      </c>
      <c r="L325" s="1">
        <v>0</v>
      </c>
      <c r="M325" s="1">
        <v>1025</v>
      </c>
      <c r="N325" s="1">
        <v>1025</v>
      </c>
      <c r="O325" s="1">
        <v>574</v>
      </c>
      <c r="P325" s="1">
        <v>451</v>
      </c>
      <c r="Q325" s="1" t="s">
        <v>54</v>
      </c>
      <c r="R325" s="1" t="s">
        <v>38</v>
      </c>
      <c r="S325" s="1" t="s">
        <v>63</v>
      </c>
    </row>
    <row r="326" spans="1:19" x14ac:dyDescent="0.3">
      <c r="A326" s="1" t="s">
        <v>425</v>
      </c>
      <c r="B326" s="2">
        <v>46279</v>
      </c>
      <c r="C326" s="1" t="s">
        <v>31</v>
      </c>
      <c r="D326" s="1" t="s">
        <v>32</v>
      </c>
      <c r="E326" s="1" t="s">
        <v>33</v>
      </c>
      <c r="F326" s="1" t="s">
        <v>116</v>
      </c>
      <c r="G326" s="1" t="s">
        <v>117</v>
      </c>
      <c r="H326" s="1" t="s">
        <v>118</v>
      </c>
      <c r="I326" s="1">
        <v>89</v>
      </c>
      <c r="J326" s="1" t="s">
        <v>37</v>
      </c>
      <c r="K326" s="1">
        <v>50</v>
      </c>
      <c r="L326" s="1">
        <v>0.05</v>
      </c>
      <c r="M326" s="1">
        <v>4450</v>
      </c>
      <c r="N326" s="1">
        <v>4227.5</v>
      </c>
      <c r="O326" s="1">
        <v>2581</v>
      </c>
      <c r="P326" s="1">
        <v>1646.5</v>
      </c>
      <c r="Q326" s="1" t="s">
        <v>27</v>
      </c>
      <c r="R326" s="1" t="s">
        <v>67</v>
      </c>
      <c r="S326" s="1" t="s">
        <v>29</v>
      </c>
    </row>
    <row r="327" spans="1:19" x14ac:dyDescent="0.3">
      <c r="A327" s="1" t="s">
        <v>426</v>
      </c>
      <c r="B327" s="2">
        <v>46276</v>
      </c>
      <c r="C327" s="1" t="s">
        <v>76</v>
      </c>
      <c r="D327" s="1" t="s">
        <v>77</v>
      </c>
      <c r="E327" s="1" t="s">
        <v>33</v>
      </c>
      <c r="F327" s="1" t="s">
        <v>101</v>
      </c>
      <c r="G327" s="1" t="s">
        <v>102</v>
      </c>
      <c r="H327" s="1" t="s">
        <v>103</v>
      </c>
      <c r="I327" s="1">
        <v>158</v>
      </c>
      <c r="J327" s="1" t="s">
        <v>37</v>
      </c>
      <c r="K327" s="1">
        <v>20</v>
      </c>
      <c r="L327" s="1">
        <v>0</v>
      </c>
      <c r="M327" s="1">
        <v>3160</v>
      </c>
      <c r="N327" s="1">
        <v>3160</v>
      </c>
      <c r="O327" s="1">
        <v>1864.4</v>
      </c>
      <c r="P327" s="1">
        <v>1295.5999999999999</v>
      </c>
      <c r="Q327" s="1" t="s">
        <v>73</v>
      </c>
      <c r="R327" s="1" t="s">
        <v>67</v>
      </c>
      <c r="S327" s="1" t="s">
        <v>68</v>
      </c>
    </row>
    <row r="328" spans="1:19" x14ac:dyDescent="0.3">
      <c r="A328" s="1" t="s">
        <v>427</v>
      </c>
      <c r="B328" s="2">
        <v>46279</v>
      </c>
      <c r="C328" s="1" t="s">
        <v>20</v>
      </c>
      <c r="D328" s="1" t="s">
        <v>21</v>
      </c>
      <c r="E328" s="1" t="s">
        <v>22</v>
      </c>
      <c r="F328" s="1" t="s">
        <v>112</v>
      </c>
      <c r="G328" s="1" t="s">
        <v>113</v>
      </c>
      <c r="H328" s="1" t="s">
        <v>114</v>
      </c>
      <c r="I328" s="1">
        <v>25</v>
      </c>
      <c r="J328" s="1" t="s">
        <v>26</v>
      </c>
      <c r="K328" s="1">
        <v>85</v>
      </c>
      <c r="L328" s="1">
        <v>0.02</v>
      </c>
      <c r="M328" s="1">
        <v>2125</v>
      </c>
      <c r="N328" s="1">
        <v>2082.5</v>
      </c>
      <c r="O328" s="1">
        <v>1275</v>
      </c>
      <c r="P328" s="1">
        <v>807.5</v>
      </c>
      <c r="Q328" s="1" t="s">
        <v>27</v>
      </c>
      <c r="R328" s="1" t="s">
        <v>38</v>
      </c>
      <c r="S328" s="1" t="s">
        <v>68</v>
      </c>
    </row>
    <row r="329" spans="1:19" x14ac:dyDescent="0.3">
      <c r="A329" s="1" t="s">
        <v>428</v>
      </c>
      <c r="B329" s="2">
        <v>46278</v>
      </c>
      <c r="C329" s="1" t="s">
        <v>82</v>
      </c>
      <c r="D329" s="1" t="s">
        <v>83</v>
      </c>
      <c r="E329" s="1" t="s">
        <v>33</v>
      </c>
      <c r="F329" s="1" t="s">
        <v>127</v>
      </c>
      <c r="G329" s="1" t="s">
        <v>128</v>
      </c>
      <c r="H329" s="1" t="s">
        <v>129</v>
      </c>
      <c r="I329" s="1">
        <v>76</v>
      </c>
      <c r="J329" s="1" t="s">
        <v>37</v>
      </c>
      <c r="K329" s="1">
        <v>35</v>
      </c>
      <c r="L329" s="1">
        <v>0</v>
      </c>
      <c r="M329" s="1">
        <v>2660</v>
      </c>
      <c r="N329" s="1">
        <v>2660</v>
      </c>
      <c r="O329" s="1">
        <v>1520</v>
      </c>
      <c r="P329" s="1">
        <v>1140</v>
      </c>
      <c r="Q329" s="1" t="s">
        <v>45</v>
      </c>
      <c r="R329" s="1" t="s">
        <v>38</v>
      </c>
      <c r="S329" s="1" t="s">
        <v>68</v>
      </c>
    </row>
    <row r="330" spans="1:19" x14ac:dyDescent="0.3">
      <c r="A330" s="1" t="s">
        <v>429</v>
      </c>
      <c r="B330" s="2">
        <v>46295</v>
      </c>
      <c r="C330" s="1" t="s">
        <v>20</v>
      </c>
      <c r="D330" s="1" t="s">
        <v>21</v>
      </c>
      <c r="E330" s="1" t="s">
        <v>22</v>
      </c>
      <c r="F330" s="1" t="s">
        <v>92</v>
      </c>
      <c r="G330" s="1" t="s">
        <v>93</v>
      </c>
      <c r="H330" s="1" t="s">
        <v>94</v>
      </c>
      <c r="I330" s="1">
        <v>47</v>
      </c>
      <c r="J330" s="1" t="s">
        <v>26</v>
      </c>
      <c r="K330" s="1">
        <v>85</v>
      </c>
      <c r="L330" s="1">
        <v>0.03</v>
      </c>
      <c r="M330" s="1">
        <v>3995</v>
      </c>
      <c r="N330" s="1">
        <v>3875.15</v>
      </c>
      <c r="O330" s="1">
        <v>2397</v>
      </c>
      <c r="P330" s="1">
        <v>1478.15</v>
      </c>
      <c r="Q330" s="1" t="s">
        <v>27</v>
      </c>
      <c r="R330" s="1" t="s">
        <v>67</v>
      </c>
      <c r="S330" s="1" t="s">
        <v>68</v>
      </c>
    </row>
    <row r="331" spans="1:19" x14ac:dyDescent="0.3">
      <c r="A331" s="1" t="s">
        <v>430</v>
      </c>
      <c r="B331" s="2">
        <v>46277</v>
      </c>
      <c r="C331" s="1" t="s">
        <v>40</v>
      </c>
      <c r="D331" s="1" t="s">
        <v>41</v>
      </c>
      <c r="E331" s="1" t="s">
        <v>33</v>
      </c>
      <c r="F331" s="1" t="s">
        <v>101</v>
      </c>
      <c r="G331" s="1" t="s">
        <v>102</v>
      </c>
      <c r="H331" s="1" t="s">
        <v>103</v>
      </c>
      <c r="I331" s="1">
        <v>27</v>
      </c>
      <c r="J331" s="1" t="s">
        <v>37</v>
      </c>
      <c r="K331" s="1">
        <v>20</v>
      </c>
      <c r="L331" s="1">
        <v>0.02</v>
      </c>
      <c r="M331" s="1">
        <v>540</v>
      </c>
      <c r="N331" s="1">
        <v>529.20000000000005</v>
      </c>
      <c r="O331" s="1">
        <v>310.5</v>
      </c>
      <c r="P331" s="1">
        <v>218.7</v>
      </c>
      <c r="Q331" s="1" t="s">
        <v>27</v>
      </c>
      <c r="R331" s="1" t="s">
        <v>38</v>
      </c>
      <c r="S331" s="1" t="s">
        <v>63</v>
      </c>
    </row>
    <row r="332" spans="1:19" x14ac:dyDescent="0.3">
      <c r="A332" s="1" t="s">
        <v>431</v>
      </c>
      <c r="B332" s="2">
        <v>46271</v>
      </c>
      <c r="C332" s="1" t="s">
        <v>20</v>
      </c>
      <c r="D332" s="1" t="s">
        <v>21</v>
      </c>
      <c r="E332" s="1" t="s">
        <v>22</v>
      </c>
      <c r="F332" s="1" t="s">
        <v>142</v>
      </c>
      <c r="G332" s="1" t="s">
        <v>143</v>
      </c>
      <c r="H332" s="1" t="s">
        <v>144</v>
      </c>
      <c r="I332" s="1">
        <v>208</v>
      </c>
      <c r="J332" s="1" t="s">
        <v>26</v>
      </c>
      <c r="K332" s="1">
        <v>85</v>
      </c>
      <c r="L332" s="1">
        <v>0.02</v>
      </c>
      <c r="M332" s="1">
        <v>17680</v>
      </c>
      <c r="N332" s="1">
        <v>17326.400000000001</v>
      </c>
      <c r="O332" s="1">
        <v>10608</v>
      </c>
      <c r="P332" s="1">
        <v>6718.4</v>
      </c>
      <c r="Q332" s="1" t="s">
        <v>73</v>
      </c>
      <c r="R332" s="1" t="s">
        <v>67</v>
      </c>
      <c r="S332" s="1" t="s">
        <v>29</v>
      </c>
    </row>
    <row r="333" spans="1:19" x14ac:dyDescent="0.3">
      <c r="A333" s="1" t="s">
        <v>432</v>
      </c>
      <c r="B333" s="2">
        <v>46274</v>
      </c>
      <c r="C333" s="1" t="s">
        <v>88</v>
      </c>
      <c r="D333" s="1" t="s">
        <v>89</v>
      </c>
      <c r="E333" s="1" t="s">
        <v>62</v>
      </c>
      <c r="F333" s="1" t="s">
        <v>56</v>
      </c>
      <c r="G333" s="1" t="s">
        <v>57</v>
      </c>
      <c r="H333" s="1" t="s">
        <v>58</v>
      </c>
      <c r="I333" s="1">
        <v>205</v>
      </c>
      <c r="J333" s="1" t="s">
        <v>37</v>
      </c>
      <c r="K333" s="1">
        <v>20</v>
      </c>
      <c r="L333" s="1">
        <v>0.02</v>
      </c>
      <c r="M333" s="1">
        <v>4100</v>
      </c>
      <c r="N333" s="1">
        <v>4018</v>
      </c>
      <c r="O333" s="1">
        <v>2255</v>
      </c>
      <c r="P333" s="1">
        <v>1763</v>
      </c>
      <c r="Q333" s="1" t="s">
        <v>45</v>
      </c>
      <c r="R333" s="1" t="s">
        <v>38</v>
      </c>
      <c r="S333" s="1" t="s">
        <v>29</v>
      </c>
    </row>
    <row r="334" spans="1:19" x14ac:dyDescent="0.3">
      <c r="A334" s="1" t="s">
        <v>433</v>
      </c>
      <c r="B334" s="2">
        <v>46288</v>
      </c>
      <c r="C334" s="1" t="s">
        <v>106</v>
      </c>
      <c r="D334" s="1" t="s">
        <v>107</v>
      </c>
      <c r="E334" s="1" t="s">
        <v>108</v>
      </c>
      <c r="F334" s="1" t="s">
        <v>34</v>
      </c>
      <c r="G334" s="1" t="s">
        <v>35</v>
      </c>
      <c r="H334" s="1" t="s">
        <v>36</v>
      </c>
      <c r="I334" s="1">
        <v>29</v>
      </c>
      <c r="J334" s="1" t="s">
        <v>37</v>
      </c>
      <c r="K334" s="1">
        <v>15</v>
      </c>
      <c r="L334" s="1">
        <v>0.05</v>
      </c>
      <c r="M334" s="1">
        <v>435</v>
      </c>
      <c r="N334" s="1">
        <v>413.25</v>
      </c>
      <c r="O334" s="1">
        <v>246.5</v>
      </c>
      <c r="P334" s="1">
        <v>166.75</v>
      </c>
      <c r="Q334" s="1" t="s">
        <v>45</v>
      </c>
      <c r="R334" s="1" t="s">
        <v>28</v>
      </c>
      <c r="S334" s="1" t="s">
        <v>63</v>
      </c>
    </row>
    <row r="335" spans="1:19" x14ac:dyDescent="0.3">
      <c r="A335" s="1" t="s">
        <v>434</v>
      </c>
      <c r="B335" s="2">
        <v>46281</v>
      </c>
      <c r="C335" s="1" t="s">
        <v>31</v>
      </c>
      <c r="D335" s="1" t="s">
        <v>32</v>
      </c>
      <c r="E335" s="1" t="s">
        <v>33</v>
      </c>
      <c r="F335" s="1" t="s">
        <v>56</v>
      </c>
      <c r="G335" s="1" t="s">
        <v>57</v>
      </c>
      <c r="H335" s="1" t="s">
        <v>58</v>
      </c>
      <c r="I335" s="1">
        <v>127</v>
      </c>
      <c r="J335" s="1" t="s">
        <v>37</v>
      </c>
      <c r="K335" s="1">
        <v>50</v>
      </c>
      <c r="L335" s="1">
        <v>0</v>
      </c>
      <c r="M335" s="1">
        <v>6350</v>
      </c>
      <c r="N335" s="1">
        <v>6350</v>
      </c>
      <c r="O335" s="1">
        <v>3683</v>
      </c>
      <c r="P335" s="1">
        <v>2667</v>
      </c>
      <c r="Q335" s="1" t="s">
        <v>27</v>
      </c>
      <c r="R335" s="1" t="s">
        <v>38</v>
      </c>
      <c r="S335" s="1" t="s">
        <v>68</v>
      </c>
    </row>
    <row r="336" spans="1:19" x14ac:dyDescent="0.3">
      <c r="A336" s="1" t="s">
        <v>435</v>
      </c>
      <c r="B336" s="2">
        <v>46271</v>
      </c>
      <c r="C336" s="1" t="s">
        <v>88</v>
      </c>
      <c r="D336" s="1" t="s">
        <v>89</v>
      </c>
      <c r="E336" s="1" t="s">
        <v>62</v>
      </c>
      <c r="F336" s="1" t="s">
        <v>112</v>
      </c>
      <c r="G336" s="1" t="s">
        <v>113</v>
      </c>
      <c r="H336" s="1" t="s">
        <v>114</v>
      </c>
      <c r="I336" s="1">
        <v>153</v>
      </c>
      <c r="J336" s="1" t="s">
        <v>37</v>
      </c>
      <c r="K336" s="1">
        <v>20</v>
      </c>
      <c r="L336" s="1">
        <v>0.03</v>
      </c>
      <c r="M336" s="1">
        <v>3060</v>
      </c>
      <c r="N336" s="1">
        <v>2968.2</v>
      </c>
      <c r="O336" s="1">
        <v>1683</v>
      </c>
      <c r="P336" s="1">
        <v>1285.2</v>
      </c>
      <c r="Q336" s="1" t="s">
        <v>73</v>
      </c>
      <c r="R336" s="1" t="s">
        <v>28</v>
      </c>
      <c r="S336" s="1" t="s">
        <v>29</v>
      </c>
    </row>
    <row r="337" spans="1:19" x14ac:dyDescent="0.3">
      <c r="A337" s="1" t="s">
        <v>436</v>
      </c>
      <c r="B337" s="2">
        <v>46272</v>
      </c>
      <c r="C337" s="1" t="s">
        <v>47</v>
      </c>
      <c r="D337" s="1" t="s">
        <v>48</v>
      </c>
      <c r="E337" s="1" t="s">
        <v>49</v>
      </c>
      <c r="F337" s="1" t="s">
        <v>70</v>
      </c>
      <c r="G337" s="1" t="s">
        <v>71</v>
      </c>
      <c r="H337" s="1" t="s">
        <v>72</v>
      </c>
      <c r="I337" s="1">
        <v>115</v>
      </c>
      <c r="J337" s="1" t="s">
        <v>53</v>
      </c>
      <c r="K337" s="1">
        <v>25</v>
      </c>
      <c r="L337" s="1">
        <v>0</v>
      </c>
      <c r="M337" s="1">
        <v>2875</v>
      </c>
      <c r="N337" s="1">
        <v>2875</v>
      </c>
      <c r="O337" s="1">
        <v>1610</v>
      </c>
      <c r="P337" s="1">
        <v>1265</v>
      </c>
      <c r="Q337" s="1" t="s">
        <v>73</v>
      </c>
      <c r="R337" s="1" t="s">
        <v>38</v>
      </c>
      <c r="S337" s="1" t="s">
        <v>29</v>
      </c>
    </row>
    <row r="338" spans="1:19" x14ac:dyDescent="0.3">
      <c r="A338" s="1" t="s">
        <v>437</v>
      </c>
      <c r="B338" s="2">
        <v>46283</v>
      </c>
      <c r="C338" s="1" t="s">
        <v>65</v>
      </c>
      <c r="D338" s="1" t="s">
        <v>66</v>
      </c>
      <c r="E338" s="1" t="s">
        <v>49</v>
      </c>
      <c r="F338" s="1" t="s">
        <v>101</v>
      </c>
      <c r="G338" s="1" t="s">
        <v>102</v>
      </c>
      <c r="H338" s="1" t="s">
        <v>103</v>
      </c>
      <c r="I338" s="1">
        <v>125</v>
      </c>
      <c r="J338" s="1" t="s">
        <v>53</v>
      </c>
      <c r="K338" s="1">
        <v>25</v>
      </c>
      <c r="L338" s="1">
        <v>0</v>
      </c>
      <c r="M338" s="1">
        <v>3125</v>
      </c>
      <c r="N338" s="1">
        <v>3125</v>
      </c>
      <c r="O338" s="1">
        <v>1775</v>
      </c>
      <c r="P338" s="1">
        <v>1350</v>
      </c>
      <c r="Q338" s="1" t="s">
        <v>73</v>
      </c>
      <c r="R338" s="1" t="s">
        <v>38</v>
      </c>
      <c r="S338" s="1" t="s">
        <v>63</v>
      </c>
    </row>
    <row r="339" spans="1:19" x14ac:dyDescent="0.3">
      <c r="A339" s="1" t="s">
        <v>438</v>
      </c>
      <c r="B339" s="2">
        <v>46294</v>
      </c>
      <c r="C339" s="1" t="s">
        <v>20</v>
      </c>
      <c r="D339" s="1" t="s">
        <v>21</v>
      </c>
      <c r="E339" s="1" t="s">
        <v>22</v>
      </c>
      <c r="F339" s="1" t="s">
        <v>127</v>
      </c>
      <c r="G339" s="1" t="s">
        <v>128</v>
      </c>
      <c r="H339" s="1" t="s">
        <v>129</v>
      </c>
      <c r="I339" s="1">
        <v>154</v>
      </c>
      <c r="J339" s="1" t="s">
        <v>26</v>
      </c>
      <c r="K339" s="1">
        <v>85</v>
      </c>
      <c r="L339" s="1">
        <v>0.03</v>
      </c>
      <c r="M339" s="1">
        <v>13090</v>
      </c>
      <c r="N339" s="1">
        <v>12697.3</v>
      </c>
      <c r="O339" s="1">
        <v>7854</v>
      </c>
      <c r="P339" s="1">
        <v>4843.3</v>
      </c>
      <c r="Q339" s="1" t="s">
        <v>45</v>
      </c>
      <c r="R339" s="1" t="s">
        <v>38</v>
      </c>
      <c r="S339" s="1" t="s">
        <v>29</v>
      </c>
    </row>
    <row r="340" spans="1:19" x14ac:dyDescent="0.3">
      <c r="A340" s="1" t="s">
        <v>439</v>
      </c>
      <c r="B340" s="2">
        <v>46278</v>
      </c>
      <c r="C340" s="1" t="s">
        <v>40</v>
      </c>
      <c r="D340" s="1" t="s">
        <v>41</v>
      </c>
      <c r="E340" s="1" t="s">
        <v>33</v>
      </c>
      <c r="F340" s="1" t="s">
        <v>34</v>
      </c>
      <c r="G340" s="1" t="s">
        <v>35</v>
      </c>
      <c r="H340" s="1" t="s">
        <v>36</v>
      </c>
      <c r="I340" s="1">
        <v>211</v>
      </c>
      <c r="J340" s="1" t="s">
        <v>37</v>
      </c>
      <c r="K340" s="1">
        <v>20</v>
      </c>
      <c r="L340" s="1">
        <v>0</v>
      </c>
      <c r="M340" s="1">
        <v>4220</v>
      </c>
      <c r="N340" s="1">
        <v>4220</v>
      </c>
      <c r="O340" s="1">
        <v>2426.5</v>
      </c>
      <c r="P340" s="1">
        <v>1793.5</v>
      </c>
      <c r="Q340" s="1" t="s">
        <v>45</v>
      </c>
      <c r="R340" s="1" t="s">
        <v>67</v>
      </c>
      <c r="S340" s="1" t="s">
        <v>63</v>
      </c>
    </row>
    <row r="341" spans="1:19" x14ac:dyDescent="0.3">
      <c r="A341" s="1" t="s">
        <v>440</v>
      </c>
      <c r="B341" s="2">
        <v>46270</v>
      </c>
      <c r="C341" s="1" t="s">
        <v>60</v>
      </c>
      <c r="D341" s="1" t="s">
        <v>61</v>
      </c>
      <c r="E341" s="1" t="s">
        <v>62</v>
      </c>
      <c r="F341" s="1" t="s">
        <v>92</v>
      </c>
      <c r="G341" s="1" t="s">
        <v>93</v>
      </c>
      <c r="H341" s="1" t="s">
        <v>94</v>
      </c>
      <c r="I341" s="1">
        <v>56</v>
      </c>
      <c r="J341" s="1" t="s">
        <v>37</v>
      </c>
      <c r="K341" s="1">
        <v>40</v>
      </c>
      <c r="L341" s="1">
        <v>0</v>
      </c>
      <c r="M341" s="1">
        <v>2240</v>
      </c>
      <c r="N341" s="1">
        <v>2240</v>
      </c>
      <c r="O341" s="1">
        <v>1288</v>
      </c>
      <c r="P341" s="1">
        <v>952</v>
      </c>
      <c r="Q341" s="1" t="s">
        <v>54</v>
      </c>
      <c r="R341" s="1" t="s">
        <v>38</v>
      </c>
      <c r="S341" s="1" t="s">
        <v>63</v>
      </c>
    </row>
    <row r="342" spans="1:19" x14ac:dyDescent="0.3">
      <c r="A342" s="1" t="s">
        <v>441</v>
      </c>
      <c r="B342" s="2">
        <v>46274</v>
      </c>
      <c r="C342" s="1" t="s">
        <v>76</v>
      </c>
      <c r="D342" s="1" t="s">
        <v>77</v>
      </c>
      <c r="E342" s="1" t="s">
        <v>33</v>
      </c>
      <c r="F342" s="1" t="s">
        <v>142</v>
      </c>
      <c r="G342" s="1" t="s">
        <v>143</v>
      </c>
      <c r="H342" s="1" t="s">
        <v>144</v>
      </c>
      <c r="I342" s="1">
        <v>208</v>
      </c>
      <c r="J342" s="1" t="s">
        <v>37</v>
      </c>
      <c r="K342" s="1">
        <v>20</v>
      </c>
      <c r="L342" s="1">
        <v>0.03</v>
      </c>
      <c r="M342" s="1">
        <v>4160</v>
      </c>
      <c r="N342" s="1">
        <v>4035.2</v>
      </c>
      <c r="O342" s="1">
        <v>2454.4</v>
      </c>
      <c r="P342" s="1">
        <v>1580.8</v>
      </c>
      <c r="Q342" s="1" t="s">
        <v>45</v>
      </c>
      <c r="R342" s="1" t="s">
        <v>38</v>
      </c>
      <c r="S342" s="1" t="s">
        <v>29</v>
      </c>
    </row>
    <row r="343" spans="1:19" x14ac:dyDescent="0.3">
      <c r="A343" s="1" t="s">
        <v>442</v>
      </c>
      <c r="B343" s="2">
        <v>46279</v>
      </c>
      <c r="C343" s="1" t="s">
        <v>88</v>
      </c>
      <c r="D343" s="1" t="s">
        <v>89</v>
      </c>
      <c r="E343" s="1" t="s">
        <v>62</v>
      </c>
      <c r="F343" s="1" t="s">
        <v>34</v>
      </c>
      <c r="G343" s="1" t="s">
        <v>35</v>
      </c>
      <c r="H343" s="1" t="s">
        <v>36</v>
      </c>
      <c r="I343" s="1">
        <v>71</v>
      </c>
      <c r="J343" s="1" t="s">
        <v>37</v>
      </c>
      <c r="K343" s="1">
        <v>20</v>
      </c>
      <c r="L343" s="1">
        <v>0.05</v>
      </c>
      <c r="M343" s="1">
        <v>1420</v>
      </c>
      <c r="N343" s="1">
        <v>1349</v>
      </c>
      <c r="O343" s="1">
        <v>781</v>
      </c>
      <c r="P343" s="1">
        <v>568</v>
      </c>
      <c r="Q343" s="1" t="s">
        <v>54</v>
      </c>
      <c r="R343" s="1" t="s">
        <v>38</v>
      </c>
      <c r="S343" s="1" t="s">
        <v>29</v>
      </c>
    </row>
    <row r="344" spans="1:19" x14ac:dyDescent="0.3">
      <c r="A344" s="1" t="s">
        <v>443</v>
      </c>
      <c r="B344" s="2">
        <v>46289</v>
      </c>
      <c r="C344" s="1" t="s">
        <v>40</v>
      </c>
      <c r="D344" s="1" t="s">
        <v>41</v>
      </c>
      <c r="E344" s="1" t="s">
        <v>33</v>
      </c>
      <c r="F344" s="1" t="s">
        <v>127</v>
      </c>
      <c r="G344" s="1" t="s">
        <v>128</v>
      </c>
      <c r="H344" s="1" t="s">
        <v>129</v>
      </c>
      <c r="I344" s="1">
        <v>82</v>
      </c>
      <c r="J344" s="1" t="s">
        <v>37</v>
      </c>
      <c r="K344" s="1">
        <v>20</v>
      </c>
      <c r="L344" s="1">
        <v>0.05</v>
      </c>
      <c r="M344" s="1">
        <v>1640</v>
      </c>
      <c r="N344" s="1">
        <v>1558</v>
      </c>
      <c r="O344" s="1">
        <v>943</v>
      </c>
      <c r="P344" s="1">
        <v>615</v>
      </c>
      <c r="Q344" s="1" t="s">
        <v>45</v>
      </c>
      <c r="R344" s="1" t="s">
        <v>67</v>
      </c>
      <c r="S344" s="1" t="s">
        <v>68</v>
      </c>
    </row>
    <row r="345" spans="1:19" x14ac:dyDescent="0.3">
      <c r="A345" s="1" t="s">
        <v>444</v>
      </c>
      <c r="B345" s="2">
        <v>46266</v>
      </c>
      <c r="C345" s="1" t="s">
        <v>31</v>
      </c>
      <c r="D345" s="1" t="s">
        <v>32</v>
      </c>
      <c r="E345" s="1" t="s">
        <v>33</v>
      </c>
      <c r="F345" s="1" t="s">
        <v>92</v>
      </c>
      <c r="G345" s="1" t="s">
        <v>93</v>
      </c>
      <c r="H345" s="1" t="s">
        <v>94</v>
      </c>
      <c r="I345" s="1">
        <v>40</v>
      </c>
      <c r="J345" s="1" t="s">
        <v>37</v>
      </c>
      <c r="K345" s="1">
        <v>50</v>
      </c>
      <c r="L345" s="1">
        <v>0</v>
      </c>
      <c r="M345" s="1">
        <v>2000</v>
      </c>
      <c r="N345" s="1">
        <v>2000</v>
      </c>
      <c r="O345" s="1">
        <v>1160</v>
      </c>
      <c r="P345" s="1">
        <v>840</v>
      </c>
      <c r="Q345" s="1" t="s">
        <v>27</v>
      </c>
      <c r="R345" s="1" t="s">
        <v>38</v>
      </c>
      <c r="S345" s="1" t="s">
        <v>29</v>
      </c>
    </row>
    <row r="346" spans="1:19" x14ac:dyDescent="0.3">
      <c r="A346" s="1" t="s">
        <v>445</v>
      </c>
      <c r="B346" s="2">
        <v>46286</v>
      </c>
      <c r="C346" s="1" t="s">
        <v>40</v>
      </c>
      <c r="D346" s="1" t="s">
        <v>41</v>
      </c>
      <c r="E346" s="1" t="s">
        <v>33</v>
      </c>
      <c r="F346" s="1" t="s">
        <v>56</v>
      </c>
      <c r="G346" s="1" t="s">
        <v>57</v>
      </c>
      <c r="H346" s="1" t="s">
        <v>58</v>
      </c>
      <c r="I346" s="1">
        <v>202</v>
      </c>
      <c r="J346" s="1" t="s">
        <v>37</v>
      </c>
      <c r="K346" s="1">
        <v>20</v>
      </c>
      <c r="L346" s="1">
        <v>0</v>
      </c>
      <c r="M346" s="1">
        <v>4040</v>
      </c>
      <c r="N346" s="1">
        <v>4040</v>
      </c>
      <c r="O346" s="1">
        <v>2323</v>
      </c>
      <c r="P346" s="1">
        <v>1717</v>
      </c>
      <c r="Q346" s="1" t="s">
        <v>27</v>
      </c>
      <c r="R346" s="1" t="s">
        <v>67</v>
      </c>
      <c r="S346" s="1" t="s">
        <v>63</v>
      </c>
    </row>
    <row r="347" spans="1:19" x14ac:dyDescent="0.3">
      <c r="A347" s="1" t="s">
        <v>446</v>
      </c>
      <c r="B347" s="2">
        <v>46274</v>
      </c>
      <c r="C347" s="1" t="s">
        <v>88</v>
      </c>
      <c r="D347" s="1" t="s">
        <v>89</v>
      </c>
      <c r="E347" s="1" t="s">
        <v>62</v>
      </c>
      <c r="F347" s="1" t="s">
        <v>56</v>
      </c>
      <c r="G347" s="1" t="s">
        <v>57</v>
      </c>
      <c r="H347" s="1" t="s">
        <v>58</v>
      </c>
      <c r="I347" s="1">
        <v>127</v>
      </c>
      <c r="J347" s="1" t="s">
        <v>37</v>
      </c>
      <c r="K347" s="1">
        <v>20</v>
      </c>
      <c r="L347" s="1">
        <v>0.02</v>
      </c>
      <c r="M347" s="1">
        <v>2540</v>
      </c>
      <c r="N347" s="1">
        <v>2489.1999999999998</v>
      </c>
      <c r="O347" s="1">
        <v>1397</v>
      </c>
      <c r="P347" s="1">
        <v>1092.2</v>
      </c>
      <c r="Q347" s="1" t="s">
        <v>45</v>
      </c>
      <c r="R347" s="1" t="s">
        <v>38</v>
      </c>
      <c r="S347" s="1" t="s">
        <v>29</v>
      </c>
    </row>
    <row r="348" spans="1:19" x14ac:dyDescent="0.3">
      <c r="A348" s="1" t="s">
        <v>447</v>
      </c>
      <c r="B348" s="2">
        <v>46284</v>
      </c>
      <c r="C348" s="1" t="s">
        <v>60</v>
      </c>
      <c r="D348" s="1" t="s">
        <v>61</v>
      </c>
      <c r="E348" s="1" t="s">
        <v>62</v>
      </c>
      <c r="F348" s="1" t="s">
        <v>127</v>
      </c>
      <c r="G348" s="1" t="s">
        <v>128</v>
      </c>
      <c r="H348" s="1" t="s">
        <v>129</v>
      </c>
      <c r="I348" s="1">
        <v>45</v>
      </c>
      <c r="J348" s="1" t="s">
        <v>37</v>
      </c>
      <c r="K348" s="1">
        <v>40</v>
      </c>
      <c r="L348" s="1">
        <v>0</v>
      </c>
      <c r="M348" s="1">
        <v>1800</v>
      </c>
      <c r="N348" s="1">
        <v>1800</v>
      </c>
      <c r="O348" s="1">
        <v>1035</v>
      </c>
      <c r="P348" s="1">
        <v>765</v>
      </c>
      <c r="Q348" s="1" t="s">
        <v>45</v>
      </c>
      <c r="R348" s="1" t="s">
        <v>38</v>
      </c>
      <c r="S348" s="1" t="s">
        <v>29</v>
      </c>
    </row>
    <row r="349" spans="1:19" x14ac:dyDescent="0.3">
      <c r="A349" s="1" t="s">
        <v>448</v>
      </c>
      <c r="B349" s="2">
        <v>46286</v>
      </c>
      <c r="C349" s="1" t="s">
        <v>106</v>
      </c>
      <c r="D349" s="1" t="s">
        <v>107</v>
      </c>
      <c r="E349" s="1" t="s">
        <v>108</v>
      </c>
      <c r="F349" s="1" t="s">
        <v>34</v>
      </c>
      <c r="G349" s="1" t="s">
        <v>35</v>
      </c>
      <c r="H349" s="1" t="s">
        <v>36</v>
      </c>
      <c r="I349" s="1">
        <v>134</v>
      </c>
      <c r="J349" s="1" t="s">
        <v>37</v>
      </c>
      <c r="K349" s="1">
        <v>15</v>
      </c>
      <c r="L349" s="1">
        <v>0</v>
      </c>
      <c r="M349" s="1">
        <v>2010</v>
      </c>
      <c r="N349" s="1">
        <v>2010</v>
      </c>
      <c r="O349" s="1">
        <v>1139</v>
      </c>
      <c r="P349" s="1">
        <v>871</v>
      </c>
      <c r="Q349" s="1" t="s">
        <v>73</v>
      </c>
      <c r="R349" s="1" t="s">
        <v>38</v>
      </c>
      <c r="S349" s="1" t="s">
        <v>63</v>
      </c>
    </row>
    <row r="350" spans="1:19" x14ac:dyDescent="0.3">
      <c r="A350" s="1" t="s">
        <v>449</v>
      </c>
      <c r="B350" s="2">
        <v>46280</v>
      </c>
      <c r="C350" s="1" t="s">
        <v>20</v>
      </c>
      <c r="D350" s="1" t="s">
        <v>21</v>
      </c>
      <c r="E350" s="1" t="s">
        <v>22</v>
      </c>
      <c r="F350" s="1" t="s">
        <v>34</v>
      </c>
      <c r="G350" s="1" t="s">
        <v>35</v>
      </c>
      <c r="H350" s="1" t="s">
        <v>36</v>
      </c>
      <c r="I350" s="1">
        <v>77</v>
      </c>
      <c r="J350" s="1" t="s">
        <v>26</v>
      </c>
      <c r="K350" s="1">
        <v>85</v>
      </c>
      <c r="L350" s="1">
        <v>0.05</v>
      </c>
      <c r="M350" s="1">
        <v>6545</v>
      </c>
      <c r="N350" s="1">
        <v>6217.75</v>
      </c>
      <c r="O350" s="1">
        <v>3927</v>
      </c>
      <c r="P350" s="1">
        <v>2290.75</v>
      </c>
      <c r="Q350" s="1" t="s">
        <v>73</v>
      </c>
      <c r="R350" s="1" t="s">
        <v>28</v>
      </c>
      <c r="S350" s="1" t="s">
        <v>63</v>
      </c>
    </row>
    <row r="351" spans="1:19" x14ac:dyDescent="0.3">
      <c r="A351" s="1" t="s">
        <v>450</v>
      </c>
      <c r="B351" s="2">
        <v>46277</v>
      </c>
      <c r="C351" s="1" t="s">
        <v>20</v>
      </c>
      <c r="D351" s="1" t="s">
        <v>21</v>
      </c>
      <c r="E351" s="1" t="s">
        <v>22</v>
      </c>
      <c r="F351" s="1" t="s">
        <v>142</v>
      </c>
      <c r="G351" s="1" t="s">
        <v>143</v>
      </c>
      <c r="H351" s="1" t="s">
        <v>144</v>
      </c>
      <c r="I351" s="1">
        <v>144</v>
      </c>
      <c r="J351" s="1" t="s">
        <v>26</v>
      </c>
      <c r="K351" s="1">
        <v>85</v>
      </c>
      <c r="L351" s="1">
        <v>0</v>
      </c>
      <c r="M351" s="1">
        <v>12240</v>
      </c>
      <c r="N351" s="1">
        <v>12240</v>
      </c>
      <c r="O351" s="1">
        <v>7344</v>
      </c>
      <c r="P351" s="1">
        <v>4896</v>
      </c>
      <c r="Q351" s="1" t="s">
        <v>54</v>
      </c>
      <c r="R351" s="1" t="s">
        <v>38</v>
      </c>
      <c r="S351" s="1" t="s">
        <v>29</v>
      </c>
    </row>
    <row r="352" spans="1:19" x14ac:dyDescent="0.3">
      <c r="A352" s="1" t="s">
        <v>451</v>
      </c>
      <c r="B352" s="2">
        <v>46271</v>
      </c>
      <c r="C352" s="1" t="s">
        <v>20</v>
      </c>
      <c r="D352" s="1" t="s">
        <v>21</v>
      </c>
      <c r="E352" s="1" t="s">
        <v>22</v>
      </c>
      <c r="F352" s="1" t="s">
        <v>84</v>
      </c>
      <c r="G352" s="1" t="s">
        <v>85</v>
      </c>
      <c r="H352" s="1" t="s">
        <v>86</v>
      </c>
      <c r="I352" s="1">
        <v>217</v>
      </c>
      <c r="J352" s="1" t="s">
        <v>26</v>
      </c>
      <c r="K352" s="1">
        <v>85</v>
      </c>
      <c r="L352" s="1">
        <v>0.05</v>
      </c>
      <c r="M352" s="1">
        <v>18445</v>
      </c>
      <c r="N352" s="1">
        <v>17522.75</v>
      </c>
      <c r="O352" s="1">
        <v>11067</v>
      </c>
      <c r="P352" s="1">
        <v>6455.75</v>
      </c>
      <c r="Q352" s="1" t="s">
        <v>27</v>
      </c>
      <c r="R352" s="1" t="s">
        <v>38</v>
      </c>
      <c r="S352" s="1" t="s">
        <v>68</v>
      </c>
    </row>
    <row r="353" spans="1:19" x14ac:dyDescent="0.3">
      <c r="A353" s="1" t="s">
        <v>452</v>
      </c>
      <c r="B353" s="2">
        <v>46281</v>
      </c>
      <c r="C353" s="1" t="s">
        <v>20</v>
      </c>
      <c r="D353" s="1" t="s">
        <v>21</v>
      </c>
      <c r="E353" s="1" t="s">
        <v>22</v>
      </c>
      <c r="F353" s="1" t="s">
        <v>92</v>
      </c>
      <c r="G353" s="1" t="s">
        <v>93</v>
      </c>
      <c r="H353" s="1" t="s">
        <v>94</v>
      </c>
      <c r="I353" s="1">
        <v>198</v>
      </c>
      <c r="J353" s="1" t="s">
        <v>26</v>
      </c>
      <c r="K353" s="1">
        <v>85</v>
      </c>
      <c r="L353" s="1">
        <v>0</v>
      </c>
      <c r="M353" s="1">
        <v>16830</v>
      </c>
      <c r="N353" s="1">
        <v>16830</v>
      </c>
      <c r="O353" s="1">
        <v>10098</v>
      </c>
      <c r="P353" s="1">
        <v>6732</v>
      </c>
      <c r="Q353" s="1" t="s">
        <v>45</v>
      </c>
      <c r="R353" s="1" t="s">
        <v>38</v>
      </c>
      <c r="S353" s="1" t="s">
        <v>29</v>
      </c>
    </row>
    <row r="354" spans="1:19" x14ac:dyDescent="0.3">
      <c r="A354" s="1" t="s">
        <v>453</v>
      </c>
      <c r="B354" s="2">
        <v>46279</v>
      </c>
      <c r="C354" s="1" t="s">
        <v>60</v>
      </c>
      <c r="D354" s="1" t="s">
        <v>61</v>
      </c>
      <c r="E354" s="1" t="s">
        <v>62</v>
      </c>
      <c r="F354" s="1" t="s">
        <v>56</v>
      </c>
      <c r="G354" s="1" t="s">
        <v>57</v>
      </c>
      <c r="H354" s="1" t="s">
        <v>58</v>
      </c>
      <c r="I354" s="1">
        <v>104</v>
      </c>
      <c r="J354" s="1" t="s">
        <v>37</v>
      </c>
      <c r="K354" s="1">
        <v>40</v>
      </c>
      <c r="L354" s="1">
        <v>0.02</v>
      </c>
      <c r="M354" s="1">
        <v>4160</v>
      </c>
      <c r="N354" s="1">
        <v>4076.8</v>
      </c>
      <c r="O354" s="1">
        <v>2392</v>
      </c>
      <c r="P354" s="1">
        <v>1684.8</v>
      </c>
      <c r="Q354" s="1" t="s">
        <v>27</v>
      </c>
      <c r="R354" s="1" t="s">
        <v>38</v>
      </c>
      <c r="S354" s="1" t="s">
        <v>63</v>
      </c>
    </row>
    <row r="355" spans="1:19" x14ac:dyDescent="0.3">
      <c r="A355" s="1" t="s">
        <v>454</v>
      </c>
      <c r="B355" s="2">
        <v>46278</v>
      </c>
      <c r="C355" s="1" t="s">
        <v>20</v>
      </c>
      <c r="D355" s="1" t="s">
        <v>21</v>
      </c>
      <c r="E355" s="1" t="s">
        <v>22</v>
      </c>
      <c r="F355" s="1" t="s">
        <v>56</v>
      </c>
      <c r="G355" s="1" t="s">
        <v>57</v>
      </c>
      <c r="H355" s="1" t="s">
        <v>58</v>
      </c>
      <c r="I355" s="1">
        <v>113</v>
      </c>
      <c r="J355" s="1" t="s">
        <v>26</v>
      </c>
      <c r="K355" s="1">
        <v>85</v>
      </c>
      <c r="L355" s="1">
        <v>0</v>
      </c>
      <c r="M355" s="1">
        <v>9605</v>
      </c>
      <c r="N355" s="1">
        <v>9605</v>
      </c>
      <c r="O355" s="1">
        <v>5763</v>
      </c>
      <c r="P355" s="1">
        <v>3842</v>
      </c>
      <c r="Q355" s="1" t="s">
        <v>54</v>
      </c>
      <c r="R355" s="1" t="s">
        <v>38</v>
      </c>
      <c r="S355" s="1" t="s">
        <v>68</v>
      </c>
    </row>
    <row r="356" spans="1:19" x14ac:dyDescent="0.3">
      <c r="A356" s="1" t="s">
        <v>455</v>
      </c>
      <c r="B356" s="2">
        <v>46292</v>
      </c>
      <c r="C356" s="1" t="s">
        <v>40</v>
      </c>
      <c r="D356" s="1" t="s">
        <v>41</v>
      </c>
      <c r="E356" s="1" t="s">
        <v>33</v>
      </c>
      <c r="F356" s="1" t="s">
        <v>42</v>
      </c>
      <c r="G356" s="1" t="s">
        <v>43</v>
      </c>
      <c r="H356" s="1" t="s">
        <v>44</v>
      </c>
      <c r="I356" s="1">
        <v>200</v>
      </c>
      <c r="J356" s="1" t="s">
        <v>37</v>
      </c>
      <c r="K356" s="1">
        <v>20</v>
      </c>
      <c r="L356" s="1">
        <v>0.05</v>
      </c>
      <c r="M356" s="1">
        <v>4000</v>
      </c>
      <c r="N356" s="1">
        <v>3800</v>
      </c>
      <c r="O356" s="1">
        <v>2300</v>
      </c>
      <c r="P356" s="1">
        <v>1500</v>
      </c>
      <c r="Q356" s="1" t="s">
        <v>45</v>
      </c>
      <c r="R356" s="1" t="s">
        <v>38</v>
      </c>
      <c r="S356" s="1" t="s">
        <v>29</v>
      </c>
    </row>
    <row r="357" spans="1:19" x14ac:dyDescent="0.3">
      <c r="A357" s="1" t="s">
        <v>456</v>
      </c>
      <c r="B357" s="2">
        <v>46272</v>
      </c>
      <c r="C357" s="1" t="s">
        <v>76</v>
      </c>
      <c r="D357" s="1" t="s">
        <v>77</v>
      </c>
      <c r="E357" s="1" t="s">
        <v>33</v>
      </c>
      <c r="F357" s="1" t="s">
        <v>42</v>
      </c>
      <c r="G357" s="1" t="s">
        <v>43</v>
      </c>
      <c r="H357" s="1" t="s">
        <v>44</v>
      </c>
      <c r="I357" s="1">
        <v>56</v>
      </c>
      <c r="J357" s="1" t="s">
        <v>37</v>
      </c>
      <c r="K357" s="1">
        <v>20</v>
      </c>
      <c r="L357" s="1">
        <v>0.03</v>
      </c>
      <c r="M357" s="1">
        <v>1120</v>
      </c>
      <c r="N357" s="1">
        <v>1086.4000000000001</v>
      </c>
      <c r="O357" s="1">
        <v>660.8</v>
      </c>
      <c r="P357" s="1">
        <v>425.6</v>
      </c>
      <c r="Q357" s="1" t="s">
        <v>73</v>
      </c>
      <c r="R357" s="1" t="s">
        <v>67</v>
      </c>
      <c r="S357" s="1" t="s">
        <v>63</v>
      </c>
    </row>
    <row r="358" spans="1:19" x14ac:dyDescent="0.3">
      <c r="A358" s="1" t="s">
        <v>457</v>
      </c>
      <c r="B358" s="2">
        <v>46286</v>
      </c>
      <c r="C358" s="1" t="s">
        <v>60</v>
      </c>
      <c r="D358" s="1" t="s">
        <v>61</v>
      </c>
      <c r="E358" s="1" t="s">
        <v>62</v>
      </c>
      <c r="F358" s="1" t="s">
        <v>42</v>
      </c>
      <c r="G358" s="1" t="s">
        <v>43</v>
      </c>
      <c r="H358" s="1" t="s">
        <v>44</v>
      </c>
      <c r="I358" s="1">
        <v>97</v>
      </c>
      <c r="J358" s="1" t="s">
        <v>37</v>
      </c>
      <c r="K358" s="1">
        <v>40</v>
      </c>
      <c r="L358" s="1">
        <v>0.03</v>
      </c>
      <c r="M358" s="1">
        <v>3880</v>
      </c>
      <c r="N358" s="1">
        <v>3763.6</v>
      </c>
      <c r="O358" s="1">
        <v>2231</v>
      </c>
      <c r="P358" s="1">
        <v>1532.6</v>
      </c>
      <c r="Q358" s="1" t="s">
        <v>54</v>
      </c>
      <c r="R358" s="1" t="s">
        <v>38</v>
      </c>
      <c r="S358" s="1" t="s">
        <v>63</v>
      </c>
    </row>
    <row r="359" spans="1:19" x14ac:dyDescent="0.3">
      <c r="A359" s="1" t="s">
        <v>458</v>
      </c>
      <c r="B359" s="2">
        <v>46279</v>
      </c>
      <c r="C359" s="1" t="s">
        <v>106</v>
      </c>
      <c r="D359" s="1" t="s">
        <v>107</v>
      </c>
      <c r="E359" s="1" t="s">
        <v>108</v>
      </c>
      <c r="F359" s="1" t="s">
        <v>78</v>
      </c>
      <c r="G359" s="1" t="s">
        <v>79</v>
      </c>
      <c r="H359" s="1" t="s">
        <v>80</v>
      </c>
      <c r="I359" s="1">
        <v>46</v>
      </c>
      <c r="J359" s="1" t="s">
        <v>37</v>
      </c>
      <c r="K359" s="1">
        <v>15</v>
      </c>
      <c r="L359" s="1">
        <v>0</v>
      </c>
      <c r="M359" s="1">
        <v>690</v>
      </c>
      <c r="N359" s="1">
        <v>690</v>
      </c>
      <c r="O359" s="1">
        <v>391</v>
      </c>
      <c r="P359" s="1">
        <v>299</v>
      </c>
      <c r="Q359" s="1" t="s">
        <v>45</v>
      </c>
      <c r="R359" s="1" t="s">
        <v>38</v>
      </c>
      <c r="S359" s="1" t="s">
        <v>68</v>
      </c>
    </row>
    <row r="360" spans="1:19" x14ac:dyDescent="0.3">
      <c r="A360" s="1" t="s">
        <v>459</v>
      </c>
      <c r="B360" s="2">
        <v>46293</v>
      </c>
      <c r="C360" s="1" t="s">
        <v>65</v>
      </c>
      <c r="D360" s="1" t="s">
        <v>66</v>
      </c>
      <c r="E360" s="1" t="s">
        <v>49</v>
      </c>
      <c r="F360" s="1" t="s">
        <v>101</v>
      </c>
      <c r="G360" s="1" t="s">
        <v>102</v>
      </c>
      <c r="H360" s="1" t="s">
        <v>103</v>
      </c>
      <c r="I360" s="1">
        <v>121</v>
      </c>
      <c r="J360" s="1" t="s">
        <v>53</v>
      </c>
      <c r="K360" s="1">
        <v>25</v>
      </c>
      <c r="L360" s="1">
        <v>0.03</v>
      </c>
      <c r="M360" s="1">
        <v>3025</v>
      </c>
      <c r="N360" s="1">
        <v>2934.25</v>
      </c>
      <c r="O360" s="1">
        <v>1718.2</v>
      </c>
      <c r="P360" s="1">
        <v>1216.05</v>
      </c>
      <c r="Q360" s="1" t="s">
        <v>45</v>
      </c>
      <c r="R360" s="1" t="s">
        <v>38</v>
      </c>
      <c r="S360" s="1" t="s">
        <v>63</v>
      </c>
    </row>
    <row r="361" spans="1:19" x14ac:dyDescent="0.3">
      <c r="A361" s="1" t="s">
        <v>460</v>
      </c>
      <c r="B361" s="2">
        <v>46274</v>
      </c>
      <c r="C361" s="1" t="s">
        <v>106</v>
      </c>
      <c r="D361" s="1" t="s">
        <v>107</v>
      </c>
      <c r="E361" s="1" t="s">
        <v>108</v>
      </c>
      <c r="F361" s="1" t="s">
        <v>116</v>
      </c>
      <c r="G361" s="1" t="s">
        <v>117</v>
      </c>
      <c r="H361" s="1" t="s">
        <v>118</v>
      </c>
      <c r="I361" s="1">
        <v>195</v>
      </c>
      <c r="J361" s="1" t="s">
        <v>37</v>
      </c>
      <c r="K361" s="1">
        <v>15</v>
      </c>
      <c r="L361" s="1">
        <v>0</v>
      </c>
      <c r="M361" s="1">
        <v>2925</v>
      </c>
      <c r="N361" s="1">
        <v>2925</v>
      </c>
      <c r="O361" s="1">
        <v>1657.5</v>
      </c>
      <c r="P361" s="1">
        <v>1267.5</v>
      </c>
      <c r="Q361" s="1" t="s">
        <v>54</v>
      </c>
      <c r="R361" s="1" t="s">
        <v>67</v>
      </c>
      <c r="S361" s="1" t="s">
        <v>68</v>
      </c>
    </row>
    <row r="362" spans="1:19" x14ac:dyDescent="0.3">
      <c r="A362" s="1" t="s">
        <v>461</v>
      </c>
      <c r="B362" s="2">
        <v>46293</v>
      </c>
      <c r="C362" s="1" t="s">
        <v>40</v>
      </c>
      <c r="D362" s="1" t="s">
        <v>41</v>
      </c>
      <c r="E362" s="1" t="s">
        <v>33</v>
      </c>
      <c r="F362" s="1" t="s">
        <v>97</v>
      </c>
      <c r="G362" s="1" t="s">
        <v>98</v>
      </c>
      <c r="H362" s="1" t="s">
        <v>94</v>
      </c>
      <c r="I362" s="1">
        <v>109</v>
      </c>
      <c r="J362" s="1" t="s">
        <v>37</v>
      </c>
      <c r="K362" s="1">
        <v>20</v>
      </c>
      <c r="L362" s="1">
        <v>0.05</v>
      </c>
      <c r="M362" s="1">
        <v>2180</v>
      </c>
      <c r="N362" s="1">
        <v>2071</v>
      </c>
      <c r="O362" s="1">
        <v>1253.5</v>
      </c>
      <c r="P362" s="1">
        <v>817.5</v>
      </c>
      <c r="Q362" s="1" t="s">
        <v>54</v>
      </c>
      <c r="R362" s="1" t="s">
        <v>67</v>
      </c>
      <c r="S362" s="1" t="s">
        <v>68</v>
      </c>
    </row>
    <row r="363" spans="1:19" x14ac:dyDescent="0.3">
      <c r="A363" s="1" t="s">
        <v>462</v>
      </c>
      <c r="B363" s="2">
        <v>46295</v>
      </c>
      <c r="C363" s="1" t="s">
        <v>20</v>
      </c>
      <c r="D363" s="1" t="s">
        <v>21</v>
      </c>
      <c r="E363" s="1" t="s">
        <v>22</v>
      </c>
      <c r="F363" s="1" t="s">
        <v>56</v>
      </c>
      <c r="G363" s="1" t="s">
        <v>57</v>
      </c>
      <c r="H363" s="1" t="s">
        <v>58</v>
      </c>
      <c r="I363" s="1">
        <v>183</v>
      </c>
      <c r="J363" s="1" t="s">
        <v>26</v>
      </c>
      <c r="K363" s="1">
        <v>85</v>
      </c>
      <c r="L363" s="1">
        <v>0.02</v>
      </c>
      <c r="M363" s="1">
        <v>15555</v>
      </c>
      <c r="N363" s="1">
        <v>15243.9</v>
      </c>
      <c r="O363" s="1">
        <v>9333</v>
      </c>
      <c r="P363" s="1">
        <v>5910.9</v>
      </c>
      <c r="Q363" s="1" t="s">
        <v>54</v>
      </c>
      <c r="R363" s="1" t="s">
        <v>38</v>
      </c>
      <c r="S363" s="1" t="s">
        <v>63</v>
      </c>
    </row>
    <row r="364" spans="1:19" x14ac:dyDescent="0.3">
      <c r="A364" s="1" t="s">
        <v>463</v>
      </c>
      <c r="B364" s="2">
        <v>46285</v>
      </c>
      <c r="C364" s="1" t="s">
        <v>76</v>
      </c>
      <c r="D364" s="1" t="s">
        <v>77</v>
      </c>
      <c r="E364" s="1" t="s">
        <v>33</v>
      </c>
      <c r="F364" s="1" t="s">
        <v>42</v>
      </c>
      <c r="G364" s="1" t="s">
        <v>43</v>
      </c>
      <c r="H364" s="1" t="s">
        <v>44</v>
      </c>
      <c r="I364" s="1">
        <v>159</v>
      </c>
      <c r="J364" s="1" t="s">
        <v>37</v>
      </c>
      <c r="K364" s="1">
        <v>20</v>
      </c>
      <c r="L364" s="1">
        <v>0</v>
      </c>
      <c r="M364" s="1">
        <v>3180</v>
      </c>
      <c r="N364" s="1">
        <v>3180</v>
      </c>
      <c r="O364" s="1">
        <v>1876.2</v>
      </c>
      <c r="P364" s="1">
        <v>1303.8</v>
      </c>
      <c r="Q364" s="1" t="s">
        <v>27</v>
      </c>
      <c r="R364" s="1" t="s">
        <v>38</v>
      </c>
      <c r="S364" s="1" t="s">
        <v>29</v>
      </c>
    </row>
    <row r="365" spans="1:19" x14ac:dyDescent="0.3">
      <c r="A365" s="1" t="s">
        <v>464</v>
      </c>
      <c r="B365" s="2">
        <v>46272</v>
      </c>
      <c r="C365" s="1" t="s">
        <v>20</v>
      </c>
      <c r="D365" s="1" t="s">
        <v>21</v>
      </c>
      <c r="E365" s="1" t="s">
        <v>22</v>
      </c>
      <c r="F365" s="1" t="s">
        <v>56</v>
      </c>
      <c r="G365" s="1" t="s">
        <v>57</v>
      </c>
      <c r="H365" s="1" t="s">
        <v>58</v>
      </c>
      <c r="I365" s="1">
        <v>188</v>
      </c>
      <c r="J365" s="1" t="s">
        <v>26</v>
      </c>
      <c r="K365" s="1">
        <v>85</v>
      </c>
      <c r="L365" s="1">
        <v>0.03</v>
      </c>
      <c r="M365" s="1">
        <v>15980</v>
      </c>
      <c r="N365" s="1">
        <v>15500.6</v>
      </c>
      <c r="O365" s="1">
        <v>9588</v>
      </c>
      <c r="P365" s="1">
        <v>5912.6</v>
      </c>
      <c r="Q365" s="1" t="s">
        <v>45</v>
      </c>
      <c r="R365" s="1" t="s">
        <v>38</v>
      </c>
      <c r="S365" s="1" t="s">
        <v>63</v>
      </c>
    </row>
    <row r="366" spans="1:19" x14ac:dyDescent="0.3">
      <c r="A366" s="1" t="s">
        <v>465</v>
      </c>
      <c r="B366" s="2">
        <v>46275</v>
      </c>
      <c r="C366" s="1" t="s">
        <v>60</v>
      </c>
      <c r="D366" s="1" t="s">
        <v>61</v>
      </c>
      <c r="E366" s="1" t="s">
        <v>62</v>
      </c>
      <c r="F366" s="1" t="s">
        <v>142</v>
      </c>
      <c r="G366" s="1" t="s">
        <v>143</v>
      </c>
      <c r="H366" s="1" t="s">
        <v>144</v>
      </c>
      <c r="I366" s="1">
        <v>152</v>
      </c>
      <c r="J366" s="1" t="s">
        <v>37</v>
      </c>
      <c r="K366" s="1">
        <v>40</v>
      </c>
      <c r="L366" s="1">
        <v>0</v>
      </c>
      <c r="M366" s="1">
        <v>6080</v>
      </c>
      <c r="N366" s="1">
        <v>6080</v>
      </c>
      <c r="O366" s="1">
        <v>3496</v>
      </c>
      <c r="P366" s="1">
        <v>2584</v>
      </c>
      <c r="Q366" s="1" t="s">
        <v>73</v>
      </c>
      <c r="R366" s="1" t="s">
        <v>28</v>
      </c>
      <c r="S366" s="1" t="s">
        <v>63</v>
      </c>
    </row>
    <row r="367" spans="1:19" x14ac:dyDescent="0.3">
      <c r="A367" s="1" t="s">
        <v>466</v>
      </c>
      <c r="B367" s="2">
        <v>46294</v>
      </c>
      <c r="C367" s="1" t="s">
        <v>20</v>
      </c>
      <c r="D367" s="1" t="s">
        <v>21</v>
      </c>
      <c r="E367" s="1" t="s">
        <v>22</v>
      </c>
      <c r="F367" s="1" t="s">
        <v>42</v>
      </c>
      <c r="G367" s="1" t="s">
        <v>43</v>
      </c>
      <c r="H367" s="1" t="s">
        <v>44</v>
      </c>
      <c r="I367" s="1">
        <v>72</v>
      </c>
      <c r="J367" s="1" t="s">
        <v>26</v>
      </c>
      <c r="K367" s="1">
        <v>85</v>
      </c>
      <c r="L367" s="1">
        <v>0.03</v>
      </c>
      <c r="M367" s="1">
        <v>6120</v>
      </c>
      <c r="N367" s="1">
        <v>5936.4</v>
      </c>
      <c r="O367" s="1">
        <v>3672</v>
      </c>
      <c r="P367" s="1">
        <v>2264.4</v>
      </c>
      <c r="Q367" s="1" t="s">
        <v>73</v>
      </c>
      <c r="R367" s="1" t="s">
        <v>38</v>
      </c>
      <c r="S367" s="1" t="s">
        <v>29</v>
      </c>
    </row>
    <row r="368" spans="1:19" x14ac:dyDescent="0.3">
      <c r="A368" s="1" t="s">
        <v>467</v>
      </c>
      <c r="B368" s="2">
        <v>46274</v>
      </c>
      <c r="C368" s="1" t="s">
        <v>65</v>
      </c>
      <c r="D368" s="1" t="s">
        <v>66</v>
      </c>
      <c r="E368" s="1" t="s">
        <v>49</v>
      </c>
      <c r="F368" s="1" t="s">
        <v>142</v>
      </c>
      <c r="G368" s="1" t="s">
        <v>143</v>
      </c>
      <c r="H368" s="1" t="s">
        <v>144</v>
      </c>
      <c r="I368" s="1">
        <v>150</v>
      </c>
      <c r="J368" s="1" t="s">
        <v>53</v>
      </c>
      <c r="K368" s="1">
        <v>25</v>
      </c>
      <c r="L368" s="1">
        <v>0.03</v>
      </c>
      <c r="M368" s="1">
        <v>3750</v>
      </c>
      <c r="N368" s="1">
        <v>3637.5</v>
      </c>
      <c r="O368" s="1">
        <v>2130</v>
      </c>
      <c r="P368" s="1">
        <v>1507.5</v>
      </c>
      <c r="Q368" s="1" t="s">
        <v>45</v>
      </c>
      <c r="R368" s="1" t="s">
        <v>38</v>
      </c>
      <c r="S368" s="1" t="s">
        <v>29</v>
      </c>
    </row>
    <row r="369" spans="1:19" x14ac:dyDescent="0.3">
      <c r="A369" s="1" t="s">
        <v>468</v>
      </c>
      <c r="B369" s="2">
        <v>46293</v>
      </c>
      <c r="C369" s="1" t="s">
        <v>47</v>
      </c>
      <c r="D369" s="1" t="s">
        <v>48</v>
      </c>
      <c r="E369" s="1" t="s">
        <v>49</v>
      </c>
      <c r="F369" s="1" t="s">
        <v>42</v>
      </c>
      <c r="G369" s="1" t="s">
        <v>43</v>
      </c>
      <c r="H369" s="1" t="s">
        <v>44</v>
      </c>
      <c r="I369" s="1">
        <v>170</v>
      </c>
      <c r="J369" s="1" t="s">
        <v>53</v>
      </c>
      <c r="K369" s="1">
        <v>25</v>
      </c>
      <c r="L369" s="1">
        <v>0.02</v>
      </c>
      <c r="M369" s="1">
        <v>4250</v>
      </c>
      <c r="N369" s="1">
        <v>4165</v>
      </c>
      <c r="O369" s="1">
        <v>2380</v>
      </c>
      <c r="P369" s="1">
        <v>1785</v>
      </c>
      <c r="Q369" s="1" t="s">
        <v>45</v>
      </c>
      <c r="R369" s="1" t="s">
        <v>38</v>
      </c>
      <c r="S369" s="1" t="s">
        <v>63</v>
      </c>
    </row>
    <row r="370" spans="1:19" x14ac:dyDescent="0.3">
      <c r="A370" s="1" t="s">
        <v>469</v>
      </c>
      <c r="B370" s="2">
        <v>46295</v>
      </c>
      <c r="C370" s="1" t="s">
        <v>82</v>
      </c>
      <c r="D370" s="1" t="s">
        <v>83</v>
      </c>
      <c r="E370" s="1" t="s">
        <v>33</v>
      </c>
      <c r="F370" s="1" t="s">
        <v>112</v>
      </c>
      <c r="G370" s="1" t="s">
        <v>113</v>
      </c>
      <c r="H370" s="1" t="s">
        <v>114</v>
      </c>
      <c r="I370" s="1">
        <v>136</v>
      </c>
      <c r="J370" s="1" t="s">
        <v>37</v>
      </c>
      <c r="K370" s="1">
        <v>35</v>
      </c>
      <c r="L370" s="1">
        <v>0</v>
      </c>
      <c r="M370" s="1">
        <v>4760</v>
      </c>
      <c r="N370" s="1">
        <v>4760</v>
      </c>
      <c r="O370" s="1">
        <v>2720</v>
      </c>
      <c r="P370" s="1">
        <v>2040</v>
      </c>
      <c r="Q370" s="1" t="s">
        <v>27</v>
      </c>
      <c r="R370" s="1" t="s">
        <v>67</v>
      </c>
      <c r="S370" s="1" t="s">
        <v>63</v>
      </c>
    </row>
    <row r="371" spans="1:19" x14ac:dyDescent="0.3">
      <c r="A371" s="1" t="s">
        <v>470</v>
      </c>
      <c r="B371" s="2">
        <v>46291</v>
      </c>
      <c r="C371" s="1" t="s">
        <v>106</v>
      </c>
      <c r="D371" s="1" t="s">
        <v>107</v>
      </c>
      <c r="E371" s="1" t="s">
        <v>108</v>
      </c>
      <c r="F371" s="1" t="s">
        <v>34</v>
      </c>
      <c r="G371" s="1" t="s">
        <v>35</v>
      </c>
      <c r="H371" s="1" t="s">
        <v>36</v>
      </c>
      <c r="I371" s="1">
        <v>182</v>
      </c>
      <c r="J371" s="1" t="s">
        <v>37</v>
      </c>
      <c r="K371" s="1">
        <v>15</v>
      </c>
      <c r="L371" s="1">
        <v>0</v>
      </c>
      <c r="M371" s="1">
        <v>2730</v>
      </c>
      <c r="N371" s="1">
        <v>2730</v>
      </c>
      <c r="O371" s="1">
        <v>1547</v>
      </c>
      <c r="P371" s="1">
        <v>1183</v>
      </c>
      <c r="Q371" s="1" t="s">
        <v>73</v>
      </c>
      <c r="R371" s="1" t="s">
        <v>28</v>
      </c>
      <c r="S371" s="1" t="s">
        <v>68</v>
      </c>
    </row>
    <row r="372" spans="1:19" x14ac:dyDescent="0.3">
      <c r="A372" s="1" t="s">
        <v>471</v>
      </c>
      <c r="B372" s="2">
        <v>46271</v>
      </c>
      <c r="C372" s="1" t="s">
        <v>60</v>
      </c>
      <c r="D372" s="1" t="s">
        <v>61</v>
      </c>
      <c r="E372" s="1" t="s">
        <v>62</v>
      </c>
      <c r="F372" s="1" t="s">
        <v>23</v>
      </c>
      <c r="G372" s="1" t="s">
        <v>24</v>
      </c>
      <c r="H372" s="1" t="s">
        <v>25</v>
      </c>
      <c r="I372" s="1">
        <v>128</v>
      </c>
      <c r="J372" s="1" t="s">
        <v>37</v>
      </c>
      <c r="K372" s="1">
        <v>40</v>
      </c>
      <c r="L372" s="1">
        <v>0.03</v>
      </c>
      <c r="M372" s="1">
        <v>5120</v>
      </c>
      <c r="N372" s="1">
        <v>4966.3999999999996</v>
      </c>
      <c r="O372" s="1">
        <v>2944</v>
      </c>
      <c r="P372" s="1">
        <v>2022.4</v>
      </c>
      <c r="Q372" s="1" t="s">
        <v>45</v>
      </c>
      <c r="R372" s="1" t="s">
        <v>38</v>
      </c>
      <c r="S372" s="1" t="s">
        <v>63</v>
      </c>
    </row>
    <row r="373" spans="1:19" x14ac:dyDescent="0.3">
      <c r="A373" s="1" t="s">
        <v>472</v>
      </c>
      <c r="B373" s="2">
        <v>46271</v>
      </c>
      <c r="C373" s="1" t="s">
        <v>60</v>
      </c>
      <c r="D373" s="1" t="s">
        <v>61</v>
      </c>
      <c r="E373" s="1" t="s">
        <v>62</v>
      </c>
      <c r="F373" s="1" t="s">
        <v>34</v>
      </c>
      <c r="G373" s="1" t="s">
        <v>35</v>
      </c>
      <c r="H373" s="1" t="s">
        <v>36</v>
      </c>
      <c r="I373" s="1">
        <v>61</v>
      </c>
      <c r="J373" s="1" t="s">
        <v>37</v>
      </c>
      <c r="K373" s="1">
        <v>40</v>
      </c>
      <c r="L373" s="1">
        <v>0.03</v>
      </c>
      <c r="M373" s="1">
        <v>2440</v>
      </c>
      <c r="N373" s="1">
        <v>2366.8000000000002</v>
      </c>
      <c r="O373" s="1">
        <v>1403</v>
      </c>
      <c r="P373" s="1">
        <v>963.8</v>
      </c>
      <c r="Q373" s="1" t="s">
        <v>45</v>
      </c>
      <c r="R373" s="1" t="s">
        <v>28</v>
      </c>
      <c r="S373" s="1" t="s">
        <v>63</v>
      </c>
    </row>
    <row r="374" spans="1:19" x14ac:dyDescent="0.3">
      <c r="A374" s="1" t="s">
        <v>473</v>
      </c>
      <c r="B374" s="2">
        <v>46288</v>
      </c>
      <c r="C374" s="1" t="s">
        <v>65</v>
      </c>
      <c r="D374" s="1" t="s">
        <v>66</v>
      </c>
      <c r="E374" s="1" t="s">
        <v>49</v>
      </c>
      <c r="F374" s="1" t="s">
        <v>78</v>
      </c>
      <c r="G374" s="1" t="s">
        <v>79</v>
      </c>
      <c r="H374" s="1" t="s">
        <v>80</v>
      </c>
      <c r="I374" s="1">
        <v>202</v>
      </c>
      <c r="J374" s="1" t="s">
        <v>53</v>
      </c>
      <c r="K374" s="1">
        <v>25</v>
      </c>
      <c r="L374" s="1">
        <v>0</v>
      </c>
      <c r="M374" s="1">
        <v>5050</v>
      </c>
      <c r="N374" s="1">
        <v>5050</v>
      </c>
      <c r="O374" s="1">
        <v>2868.4</v>
      </c>
      <c r="P374" s="1">
        <v>2181.6</v>
      </c>
      <c r="Q374" s="1" t="s">
        <v>45</v>
      </c>
      <c r="R374" s="1" t="s">
        <v>38</v>
      </c>
      <c r="S374" s="1" t="s">
        <v>68</v>
      </c>
    </row>
    <row r="375" spans="1:19" x14ac:dyDescent="0.3">
      <c r="A375" s="1" t="s">
        <v>474</v>
      </c>
      <c r="B375" s="2">
        <v>46271</v>
      </c>
      <c r="C375" s="1" t="s">
        <v>20</v>
      </c>
      <c r="D375" s="1" t="s">
        <v>21</v>
      </c>
      <c r="E375" s="1" t="s">
        <v>22</v>
      </c>
      <c r="F375" s="1" t="s">
        <v>84</v>
      </c>
      <c r="G375" s="1" t="s">
        <v>85</v>
      </c>
      <c r="H375" s="1" t="s">
        <v>86</v>
      </c>
      <c r="I375" s="1">
        <v>203</v>
      </c>
      <c r="J375" s="1" t="s">
        <v>26</v>
      </c>
      <c r="K375" s="1">
        <v>85</v>
      </c>
      <c r="L375" s="1">
        <v>0</v>
      </c>
      <c r="M375" s="1">
        <v>17255</v>
      </c>
      <c r="N375" s="1">
        <v>17255</v>
      </c>
      <c r="O375" s="1">
        <v>10353</v>
      </c>
      <c r="P375" s="1">
        <v>6902</v>
      </c>
      <c r="Q375" s="1" t="s">
        <v>54</v>
      </c>
      <c r="R375" s="1" t="s">
        <v>38</v>
      </c>
      <c r="S375" s="1" t="s">
        <v>63</v>
      </c>
    </row>
    <row r="376" spans="1:19" x14ac:dyDescent="0.3">
      <c r="A376" s="1" t="s">
        <v>475</v>
      </c>
      <c r="B376" s="2">
        <v>46294</v>
      </c>
      <c r="C376" s="1" t="s">
        <v>60</v>
      </c>
      <c r="D376" s="1" t="s">
        <v>61</v>
      </c>
      <c r="E376" s="1" t="s">
        <v>62</v>
      </c>
      <c r="F376" s="1" t="s">
        <v>84</v>
      </c>
      <c r="G376" s="1" t="s">
        <v>85</v>
      </c>
      <c r="H376" s="1" t="s">
        <v>86</v>
      </c>
      <c r="I376" s="1">
        <v>33</v>
      </c>
      <c r="J376" s="1" t="s">
        <v>37</v>
      </c>
      <c r="K376" s="1">
        <v>40</v>
      </c>
      <c r="L376" s="1">
        <v>0.05</v>
      </c>
      <c r="M376" s="1">
        <v>1320</v>
      </c>
      <c r="N376" s="1">
        <v>1254</v>
      </c>
      <c r="O376" s="1">
        <v>759</v>
      </c>
      <c r="P376" s="1">
        <v>495</v>
      </c>
      <c r="Q376" s="1" t="s">
        <v>45</v>
      </c>
      <c r="R376" s="1" t="s">
        <v>38</v>
      </c>
      <c r="S376" s="1" t="s">
        <v>29</v>
      </c>
    </row>
    <row r="377" spans="1:19" x14ac:dyDescent="0.3">
      <c r="A377" s="1" t="s">
        <v>476</v>
      </c>
      <c r="B377" s="2">
        <v>46280</v>
      </c>
      <c r="C377" s="1" t="s">
        <v>106</v>
      </c>
      <c r="D377" s="1" t="s">
        <v>107</v>
      </c>
      <c r="E377" s="1" t="s">
        <v>108</v>
      </c>
      <c r="F377" s="1" t="s">
        <v>92</v>
      </c>
      <c r="G377" s="1" t="s">
        <v>93</v>
      </c>
      <c r="H377" s="1" t="s">
        <v>94</v>
      </c>
      <c r="I377" s="1">
        <v>106</v>
      </c>
      <c r="J377" s="1" t="s">
        <v>37</v>
      </c>
      <c r="K377" s="1">
        <v>15</v>
      </c>
      <c r="L377" s="1">
        <v>0.03</v>
      </c>
      <c r="M377" s="1">
        <v>1590</v>
      </c>
      <c r="N377" s="1">
        <v>1542.3</v>
      </c>
      <c r="O377" s="1">
        <v>901</v>
      </c>
      <c r="P377" s="1">
        <v>641.29999999999995</v>
      </c>
      <c r="Q377" s="1" t="s">
        <v>73</v>
      </c>
      <c r="R377" s="1" t="s">
        <v>67</v>
      </c>
      <c r="S377" s="1" t="s">
        <v>68</v>
      </c>
    </row>
    <row r="378" spans="1:19" x14ac:dyDescent="0.3">
      <c r="A378" s="1" t="s">
        <v>477</v>
      </c>
      <c r="B378" s="2">
        <v>46272</v>
      </c>
      <c r="C378" s="1" t="s">
        <v>31</v>
      </c>
      <c r="D378" s="1" t="s">
        <v>32</v>
      </c>
      <c r="E378" s="1" t="s">
        <v>33</v>
      </c>
      <c r="F378" s="1" t="s">
        <v>116</v>
      </c>
      <c r="G378" s="1" t="s">
        <v>117</v>
      </c>
      <c r="H378" s="1" t="s">
        <v>118</v>
      </c>
      <c r="I378" s="1">
        <v>180</v>
      </c>
      <c r="J378" s="1" t="s">
        <v>37</v>
      </c>
      <c r="K378" s="1">
        <v>50</v>
      </c>
      <c r="L378" s="1">
        <v>0.02</v>
      </c>
      <c r="M378" s="1">
        <v>9000</v>
      </c>
      <c r="N378" s="1">
        <v>8820</v>
      </c>
      <c r="O378" s="1">
        <v>5220</v>
      </c>
      <c r="P378" s="1">
        <v>3600</v>
      </c>
      <c r="Q378" s="1" t="s">
        <v>45</v>
      </c>
      <c r="R378" s="1" t="s">
        <v>38</v>
      </c>
      <c r="S378" s="1" t="s">
        <v>68</v>
      </c>
    </row>
    <row r="379" spans="1:19" x14ac:dyDescent="0.3">
      <c r="A379" s="1" t="s">
        <v>478</v>
      </c>
      <c r="B379" s="2">
        <v>46276</v>
      </c>
      <c r="C379" s="1" t="s">
        <v>60</v>
      </c>
      <c r="D379" s="1" t="s">
        <v>61</v>
      </c>
      <c r="E379" s="1" t="s">
        <v>62</v>
      </c>
      <c r="F379" s="1" t="s">
        <v>78</v>
      </c>
      <c r="G379" s="1" t="s">
        <v>79</v>
      </c>
      <c r="H379" s="1" t="s">
        <v>80</v>
      </c>
      <c r="I379" s="1">
        <v>208</v>
      </c>
      <c r="J379" s="1" t="s">
        <v>37</v>
      </c>
      <c r="K379" s="1">
        <v>40</v>
      </c>
      <c r="L379" s="1">
        <v>0.02</v>
      </c>
      <c r="M379" s="1">
        <v>8320</v>
      </c>
      <c r="N379" s="1">
        <v>8153.6</v>
      </c>
      <c r="O379" s="1">
        <v>4784</v>
      </c>
      <c r="P379" s="1">
        <v>3369.6</v>
      </c>
      <c r="Q379" s="1" t="s">
        <v>27</v>
      </c>
      <c r="R379" s="1" t="s">
        <v>38</v>
      </c>
      <c r="S379" s="1" t="s">
        <v>29</v>
      </c>
    </row>
    <row r="380" spans="1:19" x14ac:dyDescent="0.3">
      <c r="A380" s="1" t="s">
        <v>479</v>
      </c>
      <c r="B380" s="2">
        <v>46271</v>
      </c>
      <c r="C380" s="1" t="s">
        <v>60</v>
      </c>
      <c r="D380" s="1" t="s">
        <v>61</v>
      </c>
      <c r="E380" s="1" t="s">
        <v>62</v>
      </c>
      <c r="F380" s="1" t="s">
        <v>127</v>
      </c>
      <c r="G380" s="1" t="s">
        <v>128</v>
      </c>
      <c r="H380" s="1" t="s">
        <v>129</v>
      </c>
      <c r="I380" s="1">
        <v>94</v>
      </c>
      <c r="J380" s="1" t="s">
        <v>37</v>
      </c>
      <c r="K380" s="1">
        <v>40</v>
      </c>
      <c r="L380" s="1">
        <v>0</v>
      </c>
      <c r="M380" s="1">
        <v>3760</v>
      </c>
      <c r="N380" s="1">
        <v>3760</v>
      </c>
      <c r="O380" s="1">
        <v>2162</v>
      </c>
      <c r="P380" s="1">
        <v>1598</v>
      </c>
      <c r="Q380" s="1" t="s">
        <v>54</v>
      </c>
      <c r="R380" s="1" t="s">
        <v>38</v>
      </c>
      <c r="S380" s="1" t="s">
        <v>63</v>
      </c>
    </row>
    <row r="381" spans="1:19" x14ac:dyDescent="0.3">
      <c r="A381" s="1" t="s">
        <v>480</v>
      </c>
      <c r="B381" s="2">
        <v>46269</v>
      </c>
      <c r="C381" s="1" t="s">
        <v>106</v>
      </c>
      <c r="D381" s="1" t="s">
        <v>107</v>
      </c>
      <c r="E381" s="1" t="s">
        <v>108</v>
      </c>
      <c r="F381" s="1" t="s">
        <v>127</v>
      </c>
      <c r="G381" s="1" t="s">
        <v>128</v>
      </c>
      <c r="H381" s="1" t="s">
        <v>129</v>
      </c>
      <c r="I381" s="1">
        <v>125</v>
      </c>
      <c r="J381" s="1" t="s">
        <v>37</v>
      </c>
      <c r="K381" s="1">
        <v>15</v>
      </c>
      <c r="L381" s="1">
        <v>0</v>
      </c>
      <c r="M381" s="1">
        <v>1875</v>
      </c>
      <c r="N381" s="1">
        <v>1875</v>
      </c>
      <c r="O381" s="1">
        <v>1062.5</v>
      </c>
      <c r="P381" s="1">
        <v>812.5</v>
      </c>
      <c r="Q381" s="1" t="s">
        <v>27</v>
      </c>
      <c r="R381" s="1" t="s">
        <v>67</v>
      </c>
      <c r="S381" s="1" t="s">
        <v>63</v>
      </c>
    </row>
    <row r="382" spans="1:19" x14ac:dyDescent="0.3">
      <c r="A382" s="1" t="s">
        <v>481</v>
      </c>
      <c r="B382" s="2">
        <v>46292</v>
      </c>
      <c r="C382" s="1" t="s">
        <v>47</v>
      </c>
      <c r="D382" s="1" t="s">
        <v>48</v>
      </c>
      <c r="E382" s="1" t="s">
        <v>49</v>
      </c>
      <c r="F382" s="1" t="s">
        <v>50</v>
      </c>
      <c r="G382" s="1" t="s">
        <v>51</v>
      </c>
      <c r="H382" s="1" t="s">
        <v>52</v>
      </c>
      <c r="I382" s="1">
        <v>200</v>
      </c>
      <c r="J382" s="1" t="s">
        <v>53</v>
      </c>
      <c r="K382" s="1">
        <v>25</v>
      </c>
      <c r="L382" s="1">
        <v>0.02</v>
      </c>
      <c r="M382" s="1">
        <v>5000</v>
      </c>
      <c r="N382" s="1">
        <v>4900</v>
      </c>
      <c r="O382" s="1">
        <v>2800</v>
      </c>
      <c r="P382" s="1">
        <v>2100</v>
      </c>
      <c r="Q382" s="1" t="s">
        <v>45</v>
      </c>
      <c r="R382" s="1" t="s">
        <v>28</v>
      </c>
      <c r="S382" s="1" t="s">
        <v>29</v>
      </c>
    </row>
    <row r="383" spans="1:19" x14ac:dyDescent="0.3">
      <c r="A383" s="1" t="s">
        <v>482</v>
      </c>
      <c r="B383" s="2">
        <v>46282</v>
      </c>
      <c r="C383" s="1" t="s">
        <v>20</v>
      </c>
      <c r="D383" s="1" t="s">
        <v>21</v>
      </c>
      <c r="E383" s="1" t="s">
        <v>22</v>
      </c>
      <c r="F383" s="1" t="s">
        <v>142</v>
      </c>
      <c r="G383" s="1" t="s">
        <v>143</v>
      </c>
      <c r="H383" s="1" t="s">
        <v>144</v>
      </c>
      <c r="I383" s="1">
        <v>165</v>
      </c>
      <c r="J383" s="1" t="s">
        <v>26</v>
      </c>
      <c r="K383" s="1">
        <v>85</v>
      </c>
      <c r="L383" s="1">
        <v>0.03</v>
      </c>
      <c r="M383" s="1">
        <v>14025</v>
      </c>
      <c r="N383" s="1">
        <v>13604.25</v>
      </c>
      <c r="O383" s="1">
        <v>8415</v>
      </c>
      <c r="P383" s="1">
        <v>5189.25</v>
      </c>
      <c r="Q383" s="1" t="s">
        <v>27</v>
      </c>
      <c r="R383" s="1" t="s">
        <v>38</v>
      </c>
      <c r="S383" s="1" t="s">
        <v>29</v>
      </c>
    </row>
    <row r="384" spans="1:19" x14ac:dyDescent="0.3">
      <c r="A384" s="1" t="s">
        <v>483</v>
      </c>
      <c r="B384" s="2">
        <v>46289</v>
      </c>
      <c r="C384" s="1" t="s">
        <v>20</v>
      </c>
      <c r="D384" s="1" t="s">
        <v>21</v>
      </c>
      <c r="E384" s="1" t="s">
        <v>22</v>
      </c>
      <c r="F384" s="1" t="s">
        <v>23</v>
      </c>
      <c r="G384" s="1" t="s">
        <v>24</v>
      </c>
      <c r="H384" s="1" t="s">
        <v>25</v>
      </c>
      <c r="I384" s="1">
        <v>163</v>
      </c>
      <c r="J384" s="1" t="s">
        <v>26</v>
      </c>
      <c r="K384" s="1">
        <v>85</v>
      </c>
      <c r="L384" s="1">
        <v>0</v>
      </c>
      <c r="M384" s="1">
        <v>13855</v>
      </c>
      <c r="N384" s="1">
        <v>13855</v>
      </c>
      <c r="O384" s="1">
        <v>8313</v>
      </c>
      <c r="P384" s="1">
        <v>5542</v>
      </c>
      <c r="Q384" s="1" t="s">
        <v>73</v>
      </c>
      <c r="R384" s="1" t="s">
        <v>38</v>
      </c>
      <c r="S384" s="1" t="s">
        <v>63</v>
      </c>
    </row>
    <row r="385" spans="1:19" x14ac:dyDescent="0.3">
      <c r="A385" s="1" t="s">
        <v>484</v>
      </c>
      <c r="B385" s="2">
        <v>46290</v>
      </c>
      <c r="C385" s="1" t="s">
        <v>88</v>
      </c>
      <c r="D385" s="1" t="s">
        <v>89</v>
      </c>
      <c r="E385" s="1" t="s">
        <v>62</v>
      </c>
      <c r="F385" s="1" t="s">
        <v>101</v>
      </c>
      <c r="G385" s="1" t="s">
        <v>102</v>
      </c>
      <c r="H385" s="1" t="s">
        <v>103</v>
      </c>
      <c r="I385" s="1">
        <v>109</v>
      </c>
      <c r="J385" s="1" t="s">
        <v>37</v>
      </c>
      <c r="K385" s="1">
        <v>20</v>
      </c>
      <c r="L385" s="1">
        <v>0.03</v>
      </c>
      <c r="M385" s="1">
        <v>2180</v>
      </c>
      <c r="N385" s="1">
        <v>2114.6</v>
      </c>
      <c r="O385" s="1">
        <v>1199</v>
      </c>
      <c r="P385" s="1">
        <v>915.6</v>
      </c>
      <c r="Q385" s="1" t="s">
        <v>27</v>
      </c>
      <c r="R385" s="1" t="s">
        <v>38</v>
      </c>
      <c r="S385" s="1" t="s">
        <v>63</v>
      </c>
    </row>
    <row r="386" spans="1:19" x14ac:dyDescent="0.3">
      <c r="A386" s="1" t="s">
        <v>485</v>
      </c>
      <c r="B386" s="2">
        <v>46289</v>
      </c>
      <c r="C386" s="1" t="s">
        <v>31</v>
      </c>
      <c r="D386" s="1" t="s">
        <v>32</v>
      </c>
      <c r="E386" s="1" t="s">
        <v>33</v>
      </c>
      <c r="F386" s="1" t="s">
        <v>101</v>
      </c>
      <c r="G386" s="1" t="s">
        <v>102</v>
      </c>
      <c r="H386" s="1" t="s">
        <v>103</v>
      </c>
      <c r="I386" s="1">
        <v>21</v>
      </c>
      <c r="J386" s="1" t="s">
        <v>37</v>
      </c>
      <c r="K386" s="1">
        <v>50</v>
      </c>
      <c r="L386" s="1">
        <v>0.05</v>
      </c>
      <c r="M386" s="1">
        <v>1050</v>
      </c>
      <c r="N386" s="1">
        <v>997.5</v>
      </c>
      <c r="O386" s="1">
        <v>609</v>
      </c>
      <c r="P386" s="1">
        <v>388.5</v>
      </c>
      <c r="Q386" s="1" t="s">
        <v>27</v>
      </c>
      <c r="R386" s="1" t="s">
        <v>38</v>
      </c>
      <c r="S386" s="1" t="s">
        <v>29</v>
      </c>
    </row>
    <row r="387" spans="1:19" x14ac:dyDescent="0.3">
      <c r="A387" s="1" t="s">
        <v>486</v>
      </c>
      <c r="B387" s="2">
        <v>46271</v>
      </c>
      <c r="C387" s="1" t="s">
        <v>65</v>
      </c>
      <c r="D387" s="1" t="s">
        <v>66</v>
      </c>
      <c r="E387" s="1" t="s">
        <v>49</v>
      </c>
      <c r="F387" s="1" t="s">
        <v>50</v>
      </c>
      <c r="G387" s="1" t="s">
        <v>51</v>
      </c>
      <c r="H387" s="1" t="s">
        <v>52</v>
      </c>
      <c r="I387" s="1">
        <v>67</v>
      </c>
      <c r="J387" s="1" t="s">
        <v>53</v>
      </c>
      <c r="K387" s="1">
        <v>25</v>
      </c>
      <c r="L387" s="1">
        <v>0.03</v>
      </c>
      <c r="M387" s="1">
        <v>1675</v>
      </c>
      <c r="N387" s="1">
        <v>1624.75</v>
      </c>
      <c r="O387" s="1">
        <v>951.4</v>
      </c>
      <c r="P387" s="1">
        <v>673.35</v>
      </c>
      <c r="Q387" s="1" t="s">
        <v>45</v>
      </c>
      <c r="R387" s="1" t="s">
        <v>67</v>
      </c>
      <c r="S387" s="1" t="s">
        <v>29</v>
      </c>
    </row>
    <row r="388" spans="1:19" x14ac:dyDescent="0.3">
      <c r="A388" s="1" t="s">
        <v>487</v>
      </c>
      <c r="B388" s="2">
        <v>46268</v>
      </c>
      <c r="C388" s="1" t="s">
        <v>65</v>
      </c>
      <c r="D388" s="1" t="s">
        <v>66</v>
      </c>
      <c r="E388" s="1" t="s">
        <v>49</v>
      </c>
      <c r="F388" s="1" t="s">
        <v>101</v>
      </c>
      <c r="G388" s="1" t="s">
        <v>102</v>
      </c>
      <c r="H388" s="1" t="s">
        <v>103</v>
      </c>
      <c r="I388" s="1">
        <v>69</v>
      </c>
      <c r="J388" s="1" t="s">
        <v>53</v>
      </c>
      <c r="K388" s="1">
        <v>25</v>
      </c>
      <c r="L388" s="1">
        <v>0</v>
      </c>
      <c r="M388" s="1">
        <v>1725</v>
      </c>
      <c r="N388" s="1">
        <v>1725</v>
      </c>
      <c r="O388" s="1">
        <v>979.8</v>
      </c>
      <c r="P388" s="1">
        <v>745.2</v>
      </c>
      <c r="Q388" s="1" t="s">
        <v>27</v>
      </c>
      <c r="R388" s="1" t="s">
        <v>38</v>
      </c>
      <c r="S388" s="1" t="s">
        <v>68</v>
      </c>
    </row>
    <row r="389" spans="1:19" x14ac:dyDescent="0.3">
      <c r="A389" s="1" t="s">
        <v>488</v>
      </c>
      <c r="B389" s="2">
        <v>46286</v>
      </c>
      <c r="C389" s="1" t="s">
        <v>76</v>
      </c>
      <c r="D389" s="1" t="s">
        <v>77</v>
      </c>
      <c r="E389" s="1" t="s">
        <v>33</v>
      </c>
      <c r="F389" s="1" t="s">
        <v>78</v>
      </c>
      <c r="G389" s="1" t="s">
        <v>79</v>
      </c>
      <c r="H389" s="1" t="s">
        <v>80</v>
      </c>
      <c r="I389" s="1">
        <v>208</v>
      </c>
      <c r="J389" s="1" t="s">
        <v>37</v>
      </c>
      <c r="K389" s="1">
        <v>20</v>
      </c>
      <c r="L389" s="1">
        <v>0.02</v>
      </c>
      <c r="M389" s="1">
        <v>4160</v>
      </c>
      <c r="N389" s="1">
        <v>4076.8</v>
      </c>
      <c r="O389" s="1">
        <v>2454.4</v>
      </c>
      <c r="P389" s="1">
        <v>1622.4</v>
      </c>
      <c r="Q389" s="1" t="s">
        <v>27</v>
      </c>
      <c r="R389" s="1" t="s">
        <v>67</v>
      </c>
      <c r="S389" s="1" t="s">
        <v>29</v>
      </c>
    </row>
    <row r="390" spans="1:19" x14ac:dyDescent="0.3">
      <c r="A390" s="1" t="s">
        <v>489</v>
      </c>
      <c r="B390" s="2">
        <v>46276</v>
      </c>
      <c r="C390" s="1" t="s">
        <v>76</v>
      </c>
      <c r="D390" s="1" t="s">
        <v>77</v>
      </c>
      <c r="E390" s="1" t="s">
        <v>33</v>
      </c>
      <c r="F390" s="1" t="s">
        <v>142</v>
      </c>
      <c r="G390" s="1" t="s">
        <v>143</v>
      </c>
      <c r="H390" s="1" t="s">
        <v>144</v>
      </c>
      <c r="I390" s="1">
        <v>102</v>
      </c>
      <c r="J390" s="1" t="s">
        <v>37</v>
      </c>
      <c r="K390" s="1">
        <v>20</v>
      </c>
      <c r="L390" s="1">
        <v>0</v>
      </c>
      <c r="M390" s="1">
        <v>2040</v>
      </c>
      <c r="N390" s="1">
        <v>2040</v>
      </c>
      <c r="O390" s="1">
        <v>1203.5999999999999</v>
      </c>
      <c r="P390" s="1">
        <v>836.4</v>
      </c>
      <c r="Q390" s="1" t="s">
        <v>45</v>
      </c>
      <c r="R390" s="1" t="s">
        <v>38</v>
      </c>
      <c r="S390" s="1" t="s">
        <v>63</v>
      </c>
    </row>
    <row r="391" spans="1:19" x14ac:dyDescent="0.3">
      <c r="A391" s="1" t="s">
        <v>490</v>
      </c>
      <c r="B391" s="2">
        <v>46267</v>
      </c>
      <c r="C391" s="1" t="s">
        <v>76</v>
      </c>
      <c r="D391" s="1" t="s">
        <v>77</v>
      </c>
      <c r="E391" s="1" t="s">
        <v>33</v>
      </c>
      <c r="F391" s="1" t="s">
        <v>97</v>
      </c>
      <c r="G391" s="1" t="s">
        <v>98</v>
      </c>
      <c r="H391" s="1" t="s">
        <v>94</v>
      </c>
      <c r="I391" s="1">
        <v>61</v>
      </c>
      <c r="J391" s="1" t="s">
        <v>37</v>
      </c>
      <c r="K391" s="1">
        <v>20</v>
      </c>
      <c r="L391" s="1">
        <v>0.02</v>
      </c>
      <c r="M391" s="1">
        <v>1220</v>
      </c>
      <c r="N391" s="1">
        <v>1195.5999999999999</v>
      </c>
      <c r="O391" s="1">
        <v>719.8</v>
      </c>
      <c r="P391" s="1">
        <v>475.8</v>
      </c>
      <c r="Q391" s="1" t="s">
        <v>27</v>
      </c>
      <c r="R391" s="1" t="s">
        <v>38</v>
      </c>
      <c r="S391" s="1" t="s">
        <v>63</v>
      </c>
    </row>
    <row r="392" spans="1:19" x14ac:dyDescent="0.3">
      <c r="A392" s="1" t="s">
        <v>491</v>
      </c>
      <c r="B392" s="2">
        <v>46276</v>
      </c>
      <c r="C392" s="1" t="s">
        <v>82</v>
      </c>
      <c r="D392" s="1" t="s">
        <v>83</v>
      </c>
      <c r="E392" s="1" t="s">
        <v>33</v>
      </c>
      <c r="F392" s="1" t="s">
        <v>50</v>
      </c>
      <c r="G392" s="1" t="s">
        <v>51</v>
      </c>
      <c r="H392" s="1" t="s">
        <v>52</v>
      </c>
      <c r="I392" s="1">
        <v>204</v>
      </c>
      <c r="J392" s="1" t="s">
        <v>37</v>
      </c>
      <c r="K392" s="1">
        <v>35</v>
      </c>
      <c r="L392" s="1">
        <v>0.05</v>
      </c>
      <c r="M392" s="1">
        <v>7140</v>
      </c>
      <c r="N392" s="1">
        <v>6783</v>
      </c>
      <c r="O392" s="1">
        <v>4080</v>
      </c>
      <c r="P392" s="1">
        <v>2703</v>
      </c>
      <c r="Q392" s="1" t="s">
        <v>27</v>
      </c>
      <c r="R392" s="1" t="s">
        <v>38</v>
      </c>
      <c r="S392" s="1" t="s">
        <v>63</v>
      </c>
    </row>
    <row r="393" spans="1:19" x14ac:dyDescent="0.3">
      <c r="A393" s="1" t="s">
        <v>492</v>
      </c>
      <c r="B393" s="2">
        <v>46273</v>
      </c>
      <c r="C393" s="1" t="s">
        <v>20</v>
      </c>
      <c r="D393" s="1" t="s">
        <v>21</v>
      </c>
      <c r="E393" s="1" t="s">
        <v>22</v>
      </c>
      <c r="F393" s="1" t="s">
        <v>142</v>
      </c>
      <c r="G393" s="1" t="s">
        <v>143</v>
      </c>
      <c r="H393" s="1" t="s">
        <v>144</v>
      </c>
      <c r="I393" s="1">
        <v>123</v>
      </c>
      <c r="J393" s="1" t="s">
        <v>26</v>
      </c>
      <c r="K393" s="1">
        <v>85</v>
      </c>
      <c r="L393" s="1">
        <v>0</v>
      </c>
      <c r="M393" s="1">
        <v>10455</v>
      </c>
      <c r="N393" s="1">
        <v>10455</v>
      </c>
      <c r="O393" s="1">
        <v>6273</v>
      </c>
      <c r="P393" s="1">
        <v>4182</v>
      </c>
      <c r="Q393" s="1" t="s">
        <v>73</v>
      </c>
      <c r="R393" s="1" t="s">
        <v>38</v>
      </c>
      <c r="S393" s="1" t="s">
        <v>68</v>
      </c>
    </row>
    <row r="394" spans="1:19" x14ac:dyDescent="0.3">
      <c r="A394" s="1" t="s">
        <v>493</v>
      </c>
      <c r="B394" s="2">
        <v>46283</v>
      </c>
      <c r="C394" s="1" t="s">
        <v>40</v>
      </c>
      <c r="D394" s="1" t="s">
        <v>41</v>
      </c>
      <c r="E394" s="1" t="s">
        <v>33</v>
      </c>
      <c r="F394" s="1" t="s">
        <v>84</v>
      </c>
      <c r="G394" s="1" t="s">
        <v>85</v>
      </c>
      <c r="H394" s="1" t="s">
        <v>86</v>
      </c>
      <c r="I394" s="1">
        <v>112</v>
      </c>
      <c r="J394" s="1" t="s">
        <v>37</v>
      </c>
      <c r="K394" s="1">
        <v>20</v>
      </c>
      <c r="L394" s="1">
        <v>0.02</v>
      </c>
      <c r="M394" s="1">
        <v>2240</v>
      </c>
      <c r="N394" s="1">
        <v>2195.1999999999998</v>
      </c>
      <c r="O394" s="1">
        <v>1288</v>
      </c>
      <c r="P394" s="1">
        <v>907.2</v>
      </c>
      <c r="Q394" s="1" t="s">
        <v>27</v>
      </c>
      <c r="R394" s="1" t="s">
        <v>67</v>
      </c>
      <c r="S394" s="1" t="s">
        <v>68</v>
      </c>
    </row>
    <row r="395" spans="1:19" x14ac:dyDescent="0.3">
      <c r="A395" s="1" t="s">
        <v>494</v>
      </c>
      <c r="B395" s="2">
        <v>46267</v>
      </c>
      <c r="C395" s="1" t="s">
        <v>82</v>
      </c>
      <c r="D395" s="1" t="s">
        <v>83</v>
      </c>
      <c r="E395" s="1" t="s">
        <v>33</v>
      </c>
      <c r="F395" s="1" t="s">
        <v>84</v>
      </c>
      <c r="G395" s="1" t="s">
        <v>85</v>
      </c>
      <c r="H395" s="1" t="s">
        <v>86</v>
      </c>
      <c r="I395" s="1">
        <v>109</v>
      </c>
      <c r="J395" s="1" t="s">
        <v>37</v>
      </c>
      <c r="K395" s="1">
        <v>35</v>
      </c>
      <c r="L395" s="1">
        <v>0</v>
      </c>
      <c r="M395" s="1">
        <v>3815</v>
      </c>
      <c r="N395" s="1">
        <v>3815</v>
      </c>
      <c r="O395" s="1">
        <v>2180</v>
      </c>
      <c r="P395" s="1">
        <v>1635</v>
      </c>
      <c r="Q395" s="1" t="s">
        <v>45</v>
      </c>
      <c r="R395" s="1" t="s">
        <v>28</v>
      </c>
      <c r="S395" s="1" t="s">
        <v>68</v>
      </c>
    </row>
    <row r="396" spans="1:19" x14ac:dyDescent="0.3">
      <c r="A396" s="1" t="s">
        <v>495</v>
      </c>
      <c r="B396" s="2">
        <v>46269</v>
      </c>
      <c r="C396" s="1" t="s">
        <v>82</v>
      </c>
      <c r="D396" s="1" t="s">
        <v>83</v>
      </c>
      <c r="E396" s="1" t="s">
        <v>33</v>
      </c>
      <c r="F396" s="1" t="s">
        <v>78</v>
      </c>
      <c r="G396" s="1" t="s">
        <v>79</v>
      </c>
      <c r="H396" s="1" t="s">
        <v>80</v>
      </c>
      <c r="I396" s="1">
        <v>65</v>
      </c>
      <c r="J396" s="1" t="s">
        <v>37</v>
      </c>
      <c r="K396" s="1">
        <v>35</v>
      </c>
      <c r="L396" s="1">
        <v>0</v>
      </c>
      <c r="M396" s="1">
        <v>2275</v>
      </c>
      <c r="N396" s="1">
        <v>2275</v>
      </c>
      <c r="O396" s="1">
        <v>1300</v>
      </c>
      <c r="P396" s="1">
        <v>975</v>
      </c>
      <c r="Q396" s="1" t="s">
        <v>54</v>
      </c>
      <c r="R396" s="1" t="s">
        <v>38</v>
      </c>
      <c r="S396" s="1" t="s">
        <v>29</v>
      </c>
    </row>
    <row r="397" spans="1:19" x14ac:dyDescent="0.3">
      <c r="A397" s="1" t="s">
        <v>496</v>
      </c>
      <c r="B397" s="2">
        <v>46285</v>
      </c>
      <c r="C397" s="1" t="s">
        <v>20</v>
      </c>
      <c r="D397" s="1" t="s">
        <v>21</v>
      </c>
      <c r="E397" s="1" t="s">
        <v>22</v>
      </c>
      <c r="F397" s="1" t="s">
        <v>101</v>
      </c>
      <c r="G397" s="1" t="s">
        <v>102</v>
      </c>
      <c r="H397" s="1" t="s">
        <v>103</v>
      </c>
      <c r="I397" s="1">
        <v>56</v>
      </c>
      <c r="J397" s="1" t="s">
        <v>26</v>
      </c>
      <c r="K397" s="1">
        <v>85</v>
      </c>
      <c r="L397" s="1">
        <v>0.03</v>
      </c>
      <c r="M397" s="1">
        <v>4760</v>
      </c>
      <c r="N397" s="1">
        <v>4617.2</v>
      </c>
      <c r="O397" s="1">
        <v>2856</v>
      </c>
      <c r="P397" s="1">
        <v>1761.2</v>
      </c>
      <c r="Q397" s="1" t="s">
        <v>73</v>
      </c>
      <c r="R397" s="1" t="s">
        <v>38</v>
      </c>
      <c r="S397" s="1" t="s">
        <v>63</v>
      </c>
    </row>
    <row r="398" spans="1:19" x14ac:dyDescent="0.3">
      <c r="A398" s="1" t="s">
        <v>497</v>
      </c>
      <c r="B398" s="2">
        <v>46272</v>
      </c>
      <c r="C398" s="1" t="s">
        <v>106</v>
      </c>
      <c r="D398" s="1" t="s">
        <v>107</v>
      </c>
      <c r="E398" s="1" t="s">
        <v>108</v>
      </c>
      <c r="F398" s="1" t="s">
        <v>78</v>
      </c>
      <c r="G398" s="1" t="s">
        <v>79</v>
      </c>
      <c r="H398" s="1" t="s">
        <v>80</v>
      </c>
      <c r="I398" s="1">
        <v>90</v>
      </c>
      <c r="J398" s="1" t="s">
        <v>37</v>
      </c>
      <c r="K398" s="1">
        <v>15</v>
      </c>
      <c r="L398" s="1">
        <v>0.05</v>
      </c>
      <c r="M398" s="1">
        <v>1350</v>
      </c>
      <c r="N398" s="1">
        <v>1282.5</v>
      </c>
      <c r="O398" s="1">
        <v>765</v>
      </c>
      <c r="P398" s="1">
        <v>517.5</v>
      </c>
      <c r="Q398" s="1" t="s">
        <v>27</v>
      </c>
      <c r="R398" s="1" t="s">
        <v>38</v>
      </c>
      <c r="S398" s="1" t="s">
        <v>63</v>
      </c>
    </row>
    <row r="399" spans="1:19" x14ac:dyDescent="0.3">
      <c r="A399" s="1" t="s">
        <v>498</v>
      </c>
      <c r="B399" s="2">
        <v>46295</v>
      </c>
      <c r="C399" s="1" t="s">
        <v>106</v>
      </c>
      <c r="D399" s="1" t="s">
        <v>107</v>
      </c>
      <c r="E399" s="1" t="s">
        <v>108</v>
      </c>
      <c r="F399" s="1" t="s">
        <v>92</v>
      </c>
      <c r="G399" s="1" t="s">
        <v>93</v>
      </c>
      <c r="H399" s="1" t="s">
        <v>94</v>
      </c>
      <c r="I399" s="1">
        <v>176</v>
      </c>
      <c r="J399" s="1" t="s">
        <v>37</v>
      </c>
      <c r="K399" s="1">
        <v>15</v>
      </c>
      <c r="L399" s="1">
        <v>0</v>
      </c>
      <c r="M399" s="1">
        <v>2640</v>
      </c>
      <c r="N399" s="1">
        <v>2640</v>
      </c>
      <c r="O399" s="1">
        <v>1496</v>
      </c>
      <c r="P399" s="1">
        <v>1144</v>
      </c>
      <c r="Q399" s="1" t="s">
        <v>27</v>
      </c>
      <c r="R399" s="1" t="s">
        <v>67</v>
      </c>
      <c r="S399" s="1" t="s">
        <v>63</v>
      </c>
    </row>
    <row r="400" spans="1:19" x14ac:dyDescent="0.3">
      <c r="A400" s="1" t="s">
        <v>499</v>
      </c>
      <c r="B400" s="2">
        <v>46268</v>
      </c>
      <c r="C400" s="1" t="s">
        <v>47</v>
      </c>
      <c r="D400" s="1" t="s">
        <v>48</v>
      </c>
      <c r="E400" s="1" t="s">
        <v>49</v>
      </c>
      <c r="F400" s="1" t="s">
        <v>101</v>
      </c>
      <c r="G400" s="1" t="s">
        <v>102</v>
      </c>
      <c r="H400" s="1" t="s">
        <v>103</v>
      </c>
      <c r="I400" s="1">
        <v>97</v>
      </c>
      <c r="J400" s="1" t="s">
        <v>53</v>
      </c>
      <c r="K400" s="1">
        <v>25</v>
      </c>
      <c r="L400" s="1">
        <v>0</v>
      </c>
      <c r="M400" s="1">
        <v>2425</v>
      </c>
      <c r="N400" s="1">
        <v>2425</v>
      </c>
      <c r="O400" s="1">
        <v>1358</v>
      </c>
      <c r="P400" s="1">
        <v>1067</v>
      </c>
      <c r="Q400" s="1" t="s">
        <v>27</v>
      </c>
      <c r="R400" s="1" t="s">
        <v>28</v>
      </c>
      <c r="S400" s="1" t="s">
        <v>29</v>
      </c>
    </row>
    <row r="401" spans="1:19" x14ac:dyDescent="0.3">
      <c r="A401" s="1" t="s">
        <v>500</v>
      </c>
      <c r="B401" s="2">
        <v>46272</v>
      </c>
      <c r="C401" s="1" t="s">
        <v>88</v>
      </c>
      <c r="D401" s="1" t="s">
        <v>89</v>
      </c>
      <c r="E401" s="1" t="s">
        <v>62</v>
      </c>
      <c r="F401" s="1" t="s">
        <v>70</v>
      </c>
      <c r="G401" s="1" t="s">
        <v>71</v>
      </c>
      <c r="H401" s="1" t="s">
        <v>72</v>
      </c>
      <c r="I401" s="1">
        <v>216</v>
      </c>
      <c r="J401" s="1" t="s">
        <v>37</v>
      </c>
      <c r="K401" s="1">
        <v>20</v>
      </c>
      <c r="L401" s="1">
        <v>0.05</v>
      </c>
      <c r="M401" s="1">
        <v>4320</v>
      </c>
      <c r="N401" s="1">
        <v>4104</v>
      </c>
      <c r="O401" s="1">
        <v>2376</v>
      </c>
      <c r="P401" s="1">
        <v>1728</v>
      </c>
      <c r="Q401" s="1" t="s">
        <v>73</v>
      </c>
      <c r="R401" s="1" t="s">
        <v>38</v>
      </c>
      <c r="S401" s="1" t="s">
        <v>29</v>
      </c>
    </row>
    <row r="402" spans="1:19" x14ac:dyDescent="0.3">
      <c r="A402" s="1" t="s">
        <v>501</v>
      </c>
      <c r="B402" s="2">
        <v>46276</v>
      </c>
      <c r="C402" s="1" t="s">
        <v>60</v>
      </c>
      <c r="D402" s="1" t="s">
        <v>61</v>
      </c>
      <c r="E402" s="1" t="s">
        <v>62</v>
      </c>
      <c r="F402" s="1" t="s">
        <v>23</v>
      </c>
      <c r="G402" s="1" t="s">
        <v>24</v>
      </c>
      <c r="H402" s="1" t="s">
        <v>25</v>
      </c>
      <c r="I402" s="1">
        <v>16</v>
      </c>
      <c r="J402" s="1" t="s">
        <v>37</v>
      </c>
      <c r="K402" s="1">
        <v>40</v>
      </c>
      <c r="L402" s="1">
        <v>0.03</v>
      </c>
      <c r="M402" s="1">
        <v>640</v>
      </c>
      <c r="N402" s="1">
        <v>620.79999999999995</v>
      </c>
      <c r="O402" s="1">
        <v>368</v>
      </c>
      <c r="P402" s="1">
        <v>252.8</v>
      </c>
      <c r="Q402" s="1" t="s">
        <v>73</v>
      </c>
      <c r="R402" s="1" t="s">
        <v>28</v>
      </c>
      <c r="S402" s="1" t="s">
        <v>68</v>
      </c>
    </row>
    <row r="403" spans="1:19" x14ac:dyDescent="0.3">
      <c r="A403" s="1" t="s">
        <v>502</v>
      </c>
      <c r="B403" s="2">
        <v>46280</v>
      </c>
      <c r="C403" s="1" t="s">
        <v>65</v>
      </c>
      <c r="D403" s="1" t="s">
        <v>66</v>
      </c>
      <c r="E403" s="1" t="s">
        <v>49</v>
      </c>
      <c r="F403" s="1" t="s">
        <v>56</v>
      </c>
      <c r="G403" s="1" t="s">
        <v>57</v>
      </c>
      <c r="H403" s="1" t="s">
        <v>58</v>
      </c>
      <c r="I403" s="1">
        <v>145</v>
      </c>
      <c r="J403" s="1" t="s">
        <v>53</v>
      </c>
      <c r="K403" s="1">
        <v>25</v>
      </c>
      <c r="L403" s="1">
        <v>0.02</v>
      </c>
      <c r="M403" s="1">
        <v>3625</v>
      </c>
      <c r="N403" s="1">
        <v>3552.5</v>
      </c>
      <c r="O403" s="1">
        <v>2059</v>
      </c>
      <c r="P403" s="1">
        <v>1493.5</v>
      </c>
      <c r="Q403" s="1" t="s">
        <v>73</v>
      </c>
      <c r="R403" s="1" t="s">
        <v>38</v>
      </c>
      <c r="S403" s="1" t="s">
        <v>63</v>
      </c>
    </row>
    <row r="404" spans="1:19" x14ac:dyDescent="0.3">
      <c r="A404" s="1" t="s">
        <v>503</v>
      </c>
      <c r="B404" s="2">
        <v>46273</v>
      </c>
      <c r="C404" s="1" t="s">
        <v>82</v>
      </c>
      <c r="D404" s="1" t="s">
        <v>83</v>
      </c>
      <c r="E404" s="1" t="s">
        <v>33</v>
      </c>
      <c r="F404" s="1" t="s">
        <v>78</v>
      </c>
      <c r="G404" s="1" t="s">
        <v>79</v>
      </c>
      <c r="H404" s="1" t="s">
        <v>80</v>
      </c>
      <c r="I404" s="1">
        <v>112</v>
      </c>
      <c r="J404" s="1" t="s">
        <v>37</v>
      </c>
      <c r="K404" s="1">
        <v>35</v>
      </c>
      <c r="L404" s="1">
        <v>0.03</v>
      </c>
      <c r="M404" s="1">
        <v>3920</v>
      </c>
      <c r="N404" s="1">
        <v>3802.4</v>
      </c>
      <c r="O404" s="1">
        <v>2240</v>
      </c>
      <c r="P404" s="1">
        <v>1562.4</v>
      </c>
      <c r="Q404" s="1" t="s">
        <v>73</v>
      </c>
      <c r="R404" s="1" t="s">
        <v>38</v>
      </c>
      <c r="S404" s="1" t="s">
        <v>29</v>
      </c>
    </row>
    <row r="405" spans="1:19" x14ac:dyDescent="0.3">
      <c r="A405" s="1" t="s">
        <v>504</v>
      </c>
      <c r="B405" s="2">
        <v>46271</v>
      </c>
      <c r="C405" s="1" t="s">
        <v>82</v>
      </c>
      <c r="D405" s="1" t="s">
        <v>83</v>
      </c>
      <c r="E405" s="1" t="s">
        <v>33</v>
      </c>
      <c r="F405" s="1" t="s">
        <v>50</v>
      </c>
      <c r="G405" s="1" t="s">
        <v>51</v>
      </c>
      <c r="H405" s="1" t="s">
        <v>52</v>
      </c>
      <c r="I405" s="1">
        <v>68</v>
      </c>
      <c r="J405" s="1" t="s">
        <v>37</v>
      </c>
      <c r="K405" s="1">
        <v>35</v>
      </c>
      <c r="L405" s="1">
        <v>0.03</v>
      </c>
      <c r="M405" s="1">
        <v>2380</v>
      </c>
      <c r="N405" s="1">
        <v>2308.6</v>
      </c>
      <c r="O405" s="1">
        <v>1360</v>
      </c>
      <c r="P405" s="1">
        <v>948.6</v>
      </c>
      <c r="Q405" s="1" t="s">
        <v>54</v>
      </c>
      <c r="R405" s="1" t="s">
        <v>28</v>
      </c>
      <c r="S405" s="1" t="s">
        <v>68</v>
      </c>
    </row>
    <row r="406" spans="1:19" x14ac:dyDescent="0.3">
      <c r="A406" s="1" t="s">
        <v>505</v>
      </c>
      <c r="B406" s="2">
        <v>46268</v>
      </c>
      <c r="C406" s="1" t="s">
        <v>60</v>
      </c>
      <c r="D406" s="1" t="s">
        <v>61</v>
      </c>
      <c r="E406" s="1" t="s">
        <v>62</v>
      </c>
      <c r="F406" s="1" t="s">
        <v>34</v>
      </c>
      <c r="G406" s="1" t="s">
        <v>35</v>
      </c>
      <c r="H406" s="1" t="s">
        <v>36</v>
      </c>
      <c r="I406" s="1">
        <v>54</v>
      </c>
      <c r="J406" s="1" t="s">
        <v>37</v>
      </c>
      <c r="K406" s="1">
        <v>40</v>
      </c>
      <c r="L406" s="1">
        <v>0</v>
      </c>
      <c r="M406" s="1">
        <v>2160</v>
      </c>
      <c r="N406" s="1">
        <v>2160</v>
      </c>
      <c r="O406" s="1">
        <v>1242</v>
      </c>
      <c r="P406" s="1">
        <v>918</v>
      </c>
      <c r="Q406" s="1" t="s">
        <v>73</v>
      </c>
      <c r="R406" s="1" t="s">
        <v>38</v>
      </c>
      <c r="S406" s="1" t="s">
        <v>63</v>
      </c>
    </row>
    <row r="407" spans="1:19" x14ac:dyDescent="0.3">
      <c r="A407" s="1" t="s">
        <v>506</v>
      </c>
      <c r="B407" s="2">
        <v>46284</v>
      </c>
      <c r="C407" s="1" t="s">
        <v>65</v>
      </c>
      <c r="D407" s="1" t="s">
        <v>66</v>
      </c>
      <c r="E407" s="1" t="s">
        <v>49</v>
      </c>
      <c r="F407" s="1" t="s">
        <v>101</v>
      </c>
      <c r="G407" s="1" t="s">
        <v>102</v>
      </c>
      <c r="H407" s="1" t="s">
        <v>103</v>
      </c>
      <c r="I407" s="1">
        <v>123</v>
      </c>
      <c r="J407" s="1" t="s">
        <v>53</v>
      </c>
      <c r="K407" s="1">
        <v>25</v>
      </c>
      <c r="L407" s="1">
        <v>0</v>
      </c>
      <c r="M407" s="1">
        <v>3075</v>
      </c>
      <c r="N407" s="1">
        <v>3075</v>
      </c>
      <c r="O407" s="1">
        <v>1746.6</v>
      </c>
      <c r="P407" s="1">
        <v>1328.4</v>
      </c>
      <c r="Q407" s="1" t="s">
        <v>73</v>
      </c>
      <c r="R407" s="1" t="s">
        <v>38</v>
      </c>
      <c r="S407" s="1" t="s">
        <v>63</v>
      </c>
    </row>
    <row r="408" spans="1:19" x14ac:dyDescent="0.3">
      <c r="A408" s="1" t="s">
        <v>507</v>
      </c>
      <c r="B408" s="2">
        <v>46286</v>
      </c>
      <c r="C408" s="1" t="s">
        <v>60</v>
      </c>
      <c r="D408" s="1" t="s">
        <v>61</v>
      </c>
      <c r="E408" s="1" t="s">
        <v>62</v>
      </c>
      <c r="F408" s="1" t="s">
        <v>116</v>
      </c>
      <c r="G408" s="1" t="s">
        <v>117</v>
      </c>
      <c r="H408" s="1" t="s">
        <v>118</v>
      </c>
      <c r="I408" s="1">
        <v>16</v>
      </c>
      <c r="J408" s="1" t="s">
        <v>37</v>
      </c>
      <c r="K408" s="1">
        <v>40</v>
      </c>
      <c r="L408" s="1">
        <v>0.02</v>
      </c>
      <c r="M408" s="1">
        <v>640</v>
      </c>
      <c r="N408" s="1">
        <v>627.20000000000005</v>
      </c>
      <c r="O408" s="1">
        <v>368</v>
      </c>
      <c r="P408" s="1">
        <v>259.2</v>
      </c>
      <c r="Q408" s="1" t="s">
        <v>54</v>
      </c>
      <c r="R408" s="1" t="s">
        <v>38</v>
      </c>
      <c r="S408" s="1" t="s">
        <v>68</v>
      </c>
    </row>
    <row r="409" spans="1:19" x14ac:dyDescent="0.3">
      <c r="A409" s="1" t="s">
        <v>508</v>
      </c>
      <c r="B409" s="2">
        <v>46283</v>
      </c>
      <c r="C409" s="1" t="s">
        <v>106</v>
      </c>
      <c r="D409" s="1" t="s">
        <v>107</v>
      </c>
      <c r="E409" s="1" t="s">
        <v>108</v>
      </c>
      <c r="F409" s="1" t="s">
        <v>42</v>
      </c>
      <c r="G409" s="1" t="s">
        <v>43</v>
      </c>
      <c r="H409" s="1" t="s">
        <v>44</v>
      </c>
      <c r="I409" s="1">
        <v>220</v>
      </c>
      <c r="J409" s="1" t="s">
        <v>37</v>
      </c>
      <c r="K409" s="1">
        <v>15</v>
      </c>
      <c r="L409" s="1">
        <v>0</v>
      </c>
      <c r="M409" s="1">
        <v>3300</v>
      </c>
      <c r="N409" s="1">
        <v>3300</v>
      </c>
      <c r="O409" s="1">
        <v>1870</v>
      </c>
      <c r="P409" s="1">
        <v>1430</v>
      </c>
      <c r="Q409" s="1" t="s">
        <v>54</v>
      </c>
      <c r="R409" s="1" t="s">
        <v>38</v>
      </c>
      <c r="S409" s="1" t="s">
        <v>63</v>
      </c>
    </row>
    <row r="410" spans="1:19" x14ac:dyDescent="0.3">
      <c r="A410" s="1" t="s">
        <v>509</v>
      </c>
      <c r="B410" s="2">
        <v>46282</v>
      </c>
      <c r="C410" s="1" t="s">
        <v>40</v>
      </c>
      <c r="D410" s="1" t="s">
        <v>41</v>
      </c>
      <c r="E410" s="1" t="s">
        <v>33</v>
      </c>
      <c r="F410" s="1" t="s">
        <v>101</v>
      </c>
      <c r="G410" s="1" t="s">
        <v>102</v>
      </c>
      <c r="H410" s="1" t="s">
        <v>103</v>
      </c>
      <c r="I410" s="1">
        <v>182</v>
      </c>
      <c r="J410" s="1" t="s">
        <v>37</v>
      </c>
      <c r="K410" s="1">
        <v>20</v>
      </c>
      <c r="L410" s="1">
        <v>0.02</v>
      </c>
      <c r="M410" s="1">
        <v>3640</v>
      </c>
      <c r="N410" s="1">
        <v>3567.2</v>
      </c>
      <c r="O410" s="1">
        <v>2093</v>
      </c>
      <c r="P410" s="1">
        <v>1474.2</v>
      </c>
      <c r="Q410" s="1" t="s">
        <v>27</v>
      </c>
      <c r="R410" s="1" t="s">
        <v>28</v>
      </c>
      <c r="S410" s="1" t="s">
        <v>29</v>
      </c>
    </row>
    <row r="411" spans="1:19" x14ac:dyDescent="0.3">
      <c r="A411" s="1" t="s">
        <v>510</v>
      </c>
      <c r="B411" s="2">
        <v>46283</v>
      </c>
      <c r="C411" s="1" t="s">
        <v>65</v>
      </c>
      <c r="D411" s="1" t="s">
        <v>66</v>
      </c>
      <c r="E411" s="1" t="s">
        <v>49</v>
      </c>
      <c r="F411" s="1" t="s">
        <v>56</v>
      </c>
      <c r="G411" s="1" t="s">
        <v>57</v>
      </c>
      <c r="H411" s="1" t="s">
        <v>58</v>
      </c>
      <c r="I411" s="1">
        <v>42</v>
      </c>
      <c r="J411" s="1" t="s">
        <v>53</v>
      </c>
      <c r="K411" s="1">
        <v>25</v>
      </c>
      <c r="L411" s="1">
        <v>0</v>
      </c>
      <c r="M411" s="1">
        <v>1050</v>
      </c>
      <c r="N411" s="1">
        <v>1050</v>
      </c>
      <c r="O411" s="1">
        <v>596.4</v>
      </c>
      <c r="P411" s="1">
        <v>453.6</v>
      </c>
      <c r="Q411" s="1" t="s">
        <v>27</v>
      </c>
      <c r="R411" s="1" t="s">
        <v>28</v>
      </c>
      <c r="S411" s="1" t="s">
        <v>68</v>
      </c>
    </row>
    <row r="412" spans="1:19" x14ac:dyDescent="0.3">
      <c r="A412" s="1" t="s">
        <v>511</v>
      </c>
      <c r="B412" s="2">
        <v>46271</v>
      </c>
      <c r="C412" s="1" t="s">
        <v>82</v>
      </c>
      <c r="D412" s="1" t="s">
        <v>83</v>
      </c>
      <c r="E412" s="1" t="s">
        <v>33</v>
      </c>
      <c r="F412" s="1" t="s">
        <v>127</v>
      </c>
      <c r="G412" s="1" t="s">
        <v>128</v>
      </c>
      <c r="H412" s="1" t="s">
        <v>129</v>
      </c>
      <c r="I412" s="1">
        <v>206</v>
      </c>
      <c r="J412" s="1" t="s">
        <v>37</v>
      </c>
      <c r="K412" s="1">
        <v>35</v>
      </c>
      <c r="L412" s="1">
        <v>0</v>
      </c>
      <c r="M412" s="1">
        <v>7210</v>
      </c>
      <c r="N412" s="1">
        <v>7210</v>
      </c>
      <c r="O412" s="1">
        <v>4120</v>
      </c>
      <c r="P412" s="1">
        <v>3090</v>
      </c>
      <c r="Q412" s="1" t="s">
        <v>27</v>
      </c>
      <c r="R412" s="1" t="s">
        <v>38</v>
      </c>
      <c r="S412" s="1" t="s">
        <v>63</v>
      </c>
    </row>
    <row r="413" spans="1:19" x14ac:dyDescent="0.3">
      <c r="A413" s="1" t="s">
        <v>512</v>
      </c>
      <c r="B413" s="2">
        <v>46268</v>
      </c>
      <c r="C413" s="1" t="s">
        <v>82</v>
      </c>
      <c r="D413" s="1" t="s">
        <v>83</v>
      </c>
      <c r="E413" s="1" t="s">
        <v>33</v>
      </c>
      <c r="F413" s="1" t="s">
        <v>23</v>
      </c>
      <c r="G413" s="1" t="s">
        <v>24</v>
      </c>
      <c r="H413" s="1" t="s">
        <v>25</v>
      </c>
      <c r="I413" s="1">
        <v>64</v>
      </c>
      <c r="J413" s="1" t="s">
        <v>37</v>
      </c>
      <c r="K413" s="1">
        <v>35</v>
      </c>
      <c r="L413" s="1">
        <v>0.02</v>
      </c>
      <c r="M413" s="1">
        <v>2240</v>
      </c>
      <c r="N413" s="1">
        <v>2195.1999999999998</v>
      </c>
      <c r="O413" s="1">
        <v>1280</v>
      </c>
      <c r="P413" s="1">
        <v>915.2</v>
      </c>
      <c r="Q413" s="1" t="s">
        <v>27</v>
      </c>
      <c r="R413" s="1" t="s">
        <v>38</v>
      </c>
      <c r="S413" s="1" t="s">
        <v>68</v>
      </c>
    </row>
    <row r="414" spans="1:19" x14ac:dyDescent="0.3">
      <c r="A414" s="1" t="s">
        <v>513</v>
      </c>
      <c r="B414" s="2">
        <v>46279</v>
      </c>
      <c r="C414" s="1" t="s">
        <v>40</v>
      </c>
      <c r="D414" s="1" t="s">
        <v>41</v>
      </c>
      <c r="E414" s="1" t="s">
        <v>33</v>
      </c>
      <c r="F414" s="1" t="s">
        <v>50</v>
      </c>
      <c r="G414" s="1" t="s">
        <v>51</v>
      </c>
      <c r="H414" s="1" t="s">
        <v>52</v>
      </c>
      <c r="I414" s="1">
        <v>151</v>
      </c>
      <c r="J414" s="1" t="s">
        <v>37</v>
      </c>
      <c r="K414" s="1">
        <v>20</v>
      </c>
      <c r="L414" s="1">
        <v>0.05</v>
      </c>
      <c r="M414" s="1">
        <v>3020</v>
      </c>
      <c r="N414" s="1">
        <v>2869</v>
      </c>
      <c r="O414" s="1">
        <v>1736.5</v>
      </c>
      <c r="P414" s="1">
        <v>1132.5</v>
      </c>
      <c r="Q414" s="1" t="s">
        <v>45</v>
      </c>
      <c r="R414" s="1" t="s">
        <v>28</v>
      </c>
      <c r="S414" s="1" t="s">
        <v>68</v>
      </c>
    </row>
    <row r="415" spans="1:19" x14ac:dyDescent="0.3">
      <c r="A415" s="1" t="s">
        <v>514</v>
      </c>
      <c r="B415" s="2">
        <v>46280</v>
      </c>
      <c r="C415" s="1" t="s">
        <v>20</v>
      </c>
      <c r="D415" s="1" t="s">
        <v>21</v>
      </c>
      <c r="E415" s="1" t="s">
        <v>22</v>
      </c>
      <c r="F415" s="1" t="s">
        <v>112</v>
      </c>
      <c r="G415" s="1" t="s">
        <v>113</v>
      </c>
      <c r="H415" s="1" t="s">
        <v>114</v>
      </c>
      <c r="I415" s="1">
        <v>28</v>
      </c>
      <c r="J415" s="1" t="s">
        <v>26</v>
      </c>
      <c r="K415" s="1">
        <v>85</v>
      </c>
      <c r="L415" s="1">
        <v>0.05</v>
      </c>
      <c r="M415" s="1">
        <v>2380</v>
      </c>
      <c r="N415" s="1">
        <v>2261</v>
      </c>
      <c r="O415" s="1">
        <v>1428</v>
      </c>
      <c r="P415" s="1">
        <v>833</v>
      </c>
      <c r="Q415" s="1" t="s">
        <v>54</v>
      </c>
      <c r="R415" s="1" t="s">
        <v>28</v>
      </c>
      <c r="S415" s="1" t="s">
        <v>29</v>
      </c>
    </row>
    <row r="416" spans="1:19" x14ac:dyDescent="0.3">
      <c r="A416" s="1" t="s">
        <v>515</v>
      </c>
      <c r="B416" s="2">
        <v>46273</v>
      </c>
      <c r="C416" s="1" t="s">
        <v>31</v>
      </c>
      <c r="D416" s="1" t="s">
        <v>32</v>
      </c>
      <c r="E416" s="1" t="s">
        <v>33</v>
      </c>
      <c r="F416" s="1" t="s">
        <v>34</v>
      </c>
      <c r="G416" s="1" t="s">
        <v>35</v>
      </c>
      <c r="H416" s="1" t="s">
        <v>36</v>
      </c>
      <c r="I416" s="1">
        <v>55</v>
      </c>
      <c r="J416" s="1" t="s">
        <v>37</v>
      </c>
      <c r="K416" s="1">
        <v>50</v>
      </c>
      <c r="L416" s="1">
        <v>0.03</v>
      </c>
      <c r="M416" s="1">
        <v>2750</v>
      </c>
      <c r="N416" s="1">
        <v>2667.5</v>
      </c>
      <c r="O416" s="1">
        <v>1595</v>
      </c>
      <c r="P416" s="1">
        <v>1072.5</v>
      </c>
      <c r="Q416" s="1" t="s">
        <v>54</v>
      </c>
      <c r="R416" s="1" t="s">
        <v>38</v>
      </c>
      <c r="S416" s="1" t="s">
        <v>29</v>
      </c>
    </row>
    <row r="417" spans="1:19" x14ac:dyDescent="0.3">
      <c r="A417" s="1" t="s">
        <v>516</v>
      </c>
      <c r="B417" s="2">
        <v>46284</v>
      </c>
      <c r="C417" s="1" t="s">
        <v>76</v>
      </c>
      <c r="D417" s="1" t="s">
        <v>77</v>
      </c>
      <c r="E417" s="1" t="s">
        <v>33</v>
      </c>
      <c r="F417" s="1" t="s">
        <v>97</v>
      </c>
      <c r="G417" s="1" t="s">
        <v>98</v>
      </c>
      <c r="H417" s="1" t="s">
        <v>94</v>
      </c>
      <c r="I417" s="1">
        <v>49</v>
      </c>
      <c r="J417" s="1" t="s">
        <v>37</v>
      </c>
      <c r="K417" s="1">
        <v>20</v>
      </c>
      <c r="L417" s="1">
        <v>0.02</v>
      </c>
      <c r="M417" s="1">
        <v>980</v>
      </c>
      <c r="N417" s="1">
        <v>960.4</v>
      </c>
      <c r="O417" s="1">
        <v>578.20000000000005</v>
      </c>
      <c r="P417" s="1">
        <v>382.2</v>
      </c>
      <c r="Q417" s="1" t="s">
        <v>54</v>
      </c>
      <c r="R417" s="1" t="s">
        <v>67</v>
      </c>
      <c r="S417" s="1" t="s">
        <v>29</v>
      </c>
    </row>
    <row r="418" spans="1:19" x14ac:dyDescent="0.3">
      <c r="A418" s="1" t="s">
        <v>517</v>
      </c>
      <c r="B418" s="2">
        <v>46281</v>
      </c>
      <c r="C418" s="1" t="s">
        <v>31</v>
      </c>
      <c r="D418" s="1" t="s">
        <v>32</v>
      </c>
      <c r="E418" s="1" t="s">
        <v>33</v>
      </c>
      <c r="F418" s="1" t="s">
        <v>42</v>
      </c>
      <c r="G418" s="1" t="s">
        <v>43</v>
      </c>
      <c r="H418" s="1" t="s">
        <v>44</v>
      </c>
      <c r="I418" s="1">
        <v>173</v>
      </c>
      <c r="J418" s="1" t="s">
        <v>37</v>
      </c>
      <c r="K418" s="1">
        <v>50</v>
      </c>
      <c r="L418" s="1">
        <v>0.03</v>
      </c>
      <c r="M418" s="1">
        <v>8650</v>
      </c>
      <c r="N418" s="1">
        <v>8390.5</v>
      </c>
      <c r="O418" s="1">
        <v>5017</v>
      </c>
      <c r="P418" s="1">
        <v>3373.5</v>
      </c>
      <c r="Q418" s="1" t="s">
        <v>27</v>
      </c>
      <c r="R418" s="1" t="s">
        <v>38</v>
      </c>
      <c r="S418" s="1" t="s">
        <v>63</v>
      </c>
    </row>
    <row r="419" spans="1:19" x14ac:dyDescent="0.3">
      <c r="A419" s="1" t="s">
        <v>518</v>
      </c>
      <c r="B419" s="2">
        <v>46266</v>
      </c>
      <c r="C419" s="1" t="s">
        <v>20</v>
      </c>
      <c r="D419" s="1" t="s">
        <v>21</v>
      </c>
      <c r="E419" s="1" t="s">
        <v>22</v>
      </c>
      <c r="F419" s="1" t="s">
        <v>78</v>
      </c>
      <c r="G419" s="1" t="s">
        <v>79</v>
      </c>
      <c r="H419" s="1" t="s">
        <v>80</v>
      </c>
      <c r="I419" s="1">
        <v>103</v>
      </c>
      <c r="J419" s="1" t="s">
        <v>26</v>
      </c>
      <c r="K419" s="1">
        <v>85</v>
      </c>
      <c r="L419" s="1">
        <v>0.05</v>
      </c>
      <c r="M419" s="1">
        <v>8755</v>
      </c>
      <c r="N419" s="1">
        <v>8317.25</v>
      </c>
      <c r="O419" s="1">
        <v>5253</v>
      </c>
      <c r="P419" s="1">
        <v>3064.25</v>
      </c>
      <c r="Q419" s="1" t="s">
        <v>27</v>
      </c>
      <c r="R419" s="1" t="s">
        <v>67</v>
      </c>
      <c r="S419" s="1" t="s">
        <v>63</v>
      </c>
    </row>
    <row r="420" spans="1:19" x14ac:dyDescent="0.3">
      <c r="A420" s="1" t="s">
        <v>519</v>
      </c>
      <c r="B420" s="2">
        <v>46277</v>
      </c>
      <c r="C420" s="1" t="s">
        <v>31</v>
      </c>
      <c r="D420" s="1" t="s">
        <v>32</v>
      </c>
      <c r="E420" s="1" t="s">
        <v>33</v>
      </c>
      <c r="F420" s="1" t="s">
        <v>50</v>
      </c>
      <c r="G420" s="1" t="s">
        <v>51</v>
      </c>
      <c r="H420" s="1" t="s">
        <v>52</v>
      </c>
      <c r="I420" s="1">
        <v>210</v>
      </c>
      <c r="J420" s="1" t="s">
        <v>37</v>
      </c>
      <c r="K420" s="1">
        <v>50</v>
      </c>
      <c r="L420" s="1">
        <v>0</v>
      </c>
      <c r="M420" s="1">
        <v>10500</v>
      </c>
      <c r="N420" s="1">
        <v>10500</v>
      </c>
      <c r="O420" s="1">
        <v>6090</v>
      </c>
      <c r="P420" s="1">
        <v>4410</v>
      </c>
      <c r="Q420" s="1" t="s">
        <v>45</v>
      </c>
      <c r="R420" s="1" t="s">
        <v>28</v>
      </c>
      <c r="S420" s="1" t="s">
        <v>68</v>
      </c>
    </row>
    <row r="421" spans="1:19" x14ac:dyDescent="0.3">
      <c r="A421" s="1" t="s">
        <v>520</v>
      </c>
      <c r="B421" s="2">
        <v>46290</v>
      </c>
      <c r="C421" s="1" t="s">
        <v>60</v>
      </c>
      <c r="D421" s="1" t="s">
        <v>61</v>
      </c>
      <c r="E421" s="1" t="s">
        <v>62</v>
      </c>
      <c r="F421" s="1" t="s">
        <v>23</v>
      </c>
      <c r="G421" s="1" t="s">
        <v>24</v>
      </c>
      <c r="H421" s="1" t="s">
        <v>25</v>
      </c>
      <c r="I421" s="1">
        <v>153</v>
      </c>
      <c r="J421" s="1" t="s">
        <v>37</v>
      </c>
      <c r="K421" s="1">
        <v>40</v>
      </c>
      <c r="L421" s="1">
        <v>0.05</v>
      </c>
      <c r="M421" s="1">
        <v>6120</v>
      </c>
      <c r="N421" s="1">
        <v>5814</v>
      </c>
      <c r="O421" s="1">
        <v>3519</v>
      </c>
      <c r="P421" s="1">
        <v>2295</v>
      </c>
      <c r="Q421" s="1" t="s">
        <v>54</v>
      </c>
      <c r="R421" s="1" t="s">
        <v>67</v>
      </c>
      <c r="S421" s="1" t="s">
        <v>63</v>
      </c>
    </row>
    <row r="422" spans="1:19" x14ac:dyDescent="0.3">
      <c r="A422" s="1" t="s">
        <v>521</v>
      </c>
      <c r="B422" s="2">
        <v>46279</v>
      </c>
      <c r="C422" s="1" t="s">
        <v>31</v>
      </c>
      <c r="D422" s="1" t="s">
        <v>32</v>
      </c>
      <c r="E422" s="1" t="s">
        <v>33</v>
      </c>
      <c r="F422" s="1" t="s">
        <v>50</v>
      </c>
      <c r="G422" s="1" t="s">
        <v>51</v>
      </c>
      <c r="H422" s="1" t="s">
        <v>52</v>
      </c>
      <c r="I422" s="1">
        <v>181</v>
      </c>
      <c r="J422" s="1" t="s">
        <v>37</v>
      </c>
      <c r="K422" s="1">
        <v>50</v>
      </c>
      <c r="L422" s="1">
        <v>0.05</v>
      </c>
      <c r="M422" s="1">
        <v>9050</v>
      </c>
      <c r="N422" s="1">
        <v>8597.5</v>
      </c>
      <c r="O422" s="1">
        <v>5249</v>
      </c>
      <c r="P422" s="1">
        <v>3348.5</v>
      </c>
      <c r="Q422" s="1" t="s">
        <v>27</v>
      </c>
      <c r="R422" s="1" t="s">
        <v>28</v>
      </c>
      <c r="S422" s="1" t="s">
        <v>68</v>
      </c>
    </row>
    <row r="423" spans="1:19" x14ac:dyDescent="0.3">
      <c r="A423" s="1" t="s">
        <v>522</v>
      </c>
      <c r="B423" s="2">
        <v>46292</v>
      </c>
      <c r="C423" s="1" t="s">
        <v>106</v>
      </c>
      <c r="D423" s="1" t="s">
        <v>107</v>
      </c>
      <c r="E423" s="1" t="s">
        <v>108</v>
      </c>
      <c r="F423" s="1" t="s">
        <v>56</v>
      </c>
      <c r="G423" s="1" t="s">
        <v>57</v>
      </c>
      <c r="H423" s="1" t="s">
        <v>58</v>
      </c>
      <c r="I423" s="1">
        <v>83</v>
      </c>
      <c r="J423" s="1" t="s">
        <v>37</v>
      </c>
      <c r="K423" s="1">
        <v>15</v>
      </c>
      <c r="L423" s="1">
        <v>0</v>
      </c>
      <c r="M423" s="1">
        <v>1245</v>
      </c>
      <c r="N423" s="1">
        <v>1245</v>
      </c>
      <c r="O423" s="1">
        <v>705.5</v>
      </c>
      <c r="P423" s="1">
        <v>539.5</v>
      </c>
      <c r="Q423" s="1" t="s">
        <v>73</v>
      </c>
      <c r="R423" s="1" t="s">
        <v>38</v>
      </c>
      <c r="S423" s="1" t="s">
        <v>63</v>
      </c>
    </row>
    <row r="424" spans="1:19" x14ac:dyDescent="0.3">
      <c r="A424" s="1" t="s">
        <v>523</v>
      </c>
      <c r="B424" s="2">
        <v>46278</v>
      </c>
      <c r="C424" s="1" t="s">
        <v>31</v>
      </c>
      <c r="D424" s="1" t="s">
        <v>32</v>
      </c>
      <c r="E424" s="1" t="s">
        <v>33</v>
      </c>
      <c r="F424" s="1" t="s">
        <v>23</v>
      </c>
      <c r="G424" s="1" t="s">
        <v>24</v>
      </c>
      <c r="H424" s="1" t="s">
        <v>25</v>
      </c>
      <c r="I424" s="1">
        <v>57</v>
      </c>
      <c r="J424" s="1" t="s">
        <v>37</v>
      </c>
      <c r="K424" s="1">
        <v>50</v>
      </c>
      <c r="L424" s="1">
        <v>0.02</v>
      </c>
      <c r="M424" s="1">
        <v>2850</v>
      </c>
      <c r="N424" s="1">
        <v>2793</v>
      </c>
      <c r="O424" s="1">
        <v>1653</v>
      </c>
      <c r="P424" s="1">
        <v>1140</v>
      </c>
      <c r="Q424" s="1" t="s">
        <v>54</v>
      </c>
      <c r="R424" s="1" t="s">
        <v>38</v>
      </c>
      <c r="S424" s="1" t="s">
        <v>68</v>
      </c>
    </row>
    <row r="425" spans="1:19" x14ac:dyDescent="0.3">
      <c r="A425" s="1" t="s">
        <v>524</v>
      </c>
      <c r="B425" s="2">
        <v>46291</v>
      </c>
      <c r="C425" s="1" t="s">
        <v>82</v>
      </c>
      <c r="D425" s="1" t="s">
        <v>83</v>
      </c>
      <c r="E425" s="1" t="s">
        <v>33</v>
      </c>
      <c r="F425" s="1" t="s">
        <v>56</v>
      </c>
      <c r="G425" s="1" t="s">
        <v>57</v>
      </c>
      <c r="H425" s="1" t="s">
        <v>58</v>
      </c>
      <c r="I425" s="1">
        <v>108</v>
      </c>
      <c r="J425" s="1" t="s">
        <v>37</v>
      </c>
      <c r="K425" s="1">
        <v>35</v>
      </c>
      <c r="L425" s="1">
        <v>0</v>
      </c>
      <c r="M425" s="1">
        <v>3780</v>
      </c>
      <c r="N425" s="1">
        <v>3780</v>
      </c>
      <c r="O425" s="1">
        <v>2160</v>
      </c>
      <c r="P425" s="1">
        <v>1620</v>
      </c>
      <c r="Q425" s="1" t="s">
        <v>27</v>
      </c>
      <c r="R425" s="1" t="s">
        <v>38</v>
      </c>
      <c r="S425" s="1" t="s">
        <v>68</v>
      </c>
    </row>
    <row r="426" spans="1:19" x14ac:dyDescent="0.3">
      <c r="A426" s="1" t="s">
        <v>525</v>
      </c>
      <c r="B426" s="2">
        <v>46292</v>
      </c>
      <c r="C426" s="1" t="s">
        <v>106</v>
      </c>
      <c r="D426" s="1" t="s">
        <v>107</v>
      </c>
      <c r="E426" s="1" t="s">
        <v>108</v>
      </c>
      <c r="F426" s="1" t="s">
        <v>78</v>
      </c>
      <c r="G426" s="1" t="s">
        <v>79</v>
      </c>
      <c r="H426" s="1" t="s">
        <v>80</v>
      </c>
      <c r="I426" s="1">
        <v>122</v>
      </c>
      <c r="J426" s="1" t="s">
        <v>37</v>
      </c>
      <c r="K426" s="1">
        <v>15</v>
      </c>
      <c r="L426" s="1">
        <v>0.05</v>
      </c>
      <c r="M426" s="1">
        <v>1830</v>
      </c>
      <c r="N426" s="1">
        <v>1738.5</v>
      </c>
      <c r="O426" s="1">
        <v>1037</v>
      </c>
      <c r="P426" s="1">
        <v>701.5</v>
      </c>
      <c r="Q426" s="1" t="s">
        <v>27</v>
      </c>
      <c r="R426" s="1" t="s">
        <v>38</v>
      </c>
      <c r="S426" s="1" t="s">
        <v>68</v>
      </c>
    </row>
    <row r="427" spans="1:19" x14ac:dyDescent="0.3">
      <c r="A427" s="1" t="s">
        <v>526</v>
      </c>
      <c r="B427" s="2">
        <v>46286</v>
      </c>
      <c r="C427" s="1" t="s">
        <v>60</v>
      </c>
      <c r="D427" s="1" t="s">
        <v>61</v>
      </c>
      <c r="E427" s="1" t="s">
        <v>62</v>
      </c>
      <c r="F427" s="1" t="s">
        <v>78</v>
      </c>
      <c r="G427" s="1" t="s">
        <v>79</v>
      </c>
      <c r="H427" s="1" t="s">
        <v>80</v>
      </c>
      <c r="I427" s="1">
        <v>196</v>
      </c>
      <c r="J427" s="1" t="s">
        <v>37</v>
      </c>
      <c r="K427" s="1">
        <v>40</v>
      </c>
      <c r="L427" s="1">
        <v>0.03</v>
      </c>
      <c r="M427" s="1">
        <v>7840</v>
      </c>
      <c r="N427" s="1">
        <v>7604.8</v>
      </c>
      <c r="O427" s="1">
        <v>4508</v>
      </c>
      <c r="P427" s="1">
        <v>3096.8</v>
      </c>
      <c r="Q427" s="1" t="s">
        <v>45</v>
      </c>
      <c r="R427" s="1" t="s">
        <v>67</v>
      </c>
      <c r="S427" s="1" t="s">
        <v>63</v>
      </c>
    </row>
    <row r="428" spans="1:19" x14ac:dyDescent="0.3">
      <c r="A428" s="1" t="s">
        <v>527</v>
      </c>
      <c r="B428" s="2">
        <v>46292</v>
      </c>
      <c r="C428" s="1" t="s">
        <v>47</v>
      </c>
      <c r="D428" s="1" t="s">
        <v>48</v>
      </c>
      <c r="E428" s="1" t="s">
        <v>49</v>
      </c>
      <c r="F428" s="1" t="s">
        <v>50</v>
      </c>
      <c r="G428" s="1" t="s">
        <v>51</v>
      </c>
      <c r="H428" s="1" t="s">
        <v>52</v>
      </c>
      <c r="I428" s="1">
        <v>21</v>
      </c>
      <c r="J428" s="1" t="s">
        <v>53</v>
      </c>
      <c r="K428" s="1">
        <v>25</v>
      </c>
      <c r="L428" s="1">
        <v>0.02</v>
      </c>
      <c r="M428" s="1">
        <v>525</v>
      </c>
      <c r="N428" s="1">
        <v>514.5</v>
      </c>
      <c r="O428" s="1">
        <v>294</v>
      </c>
      <c r="P428" s="1">
        <v>220.5</v>
      </c>
      <c r="Q428" s="1" t="s">
        <v>45</v>
      </c>
      <c r="R428" s="1" t="s">
        <v>38</v>
      </c>
      <c r="S428" s="1" t="s">
        <v>68</v>
      </c>
    </row>
    <row r="429" spans="1:19" x14ac:dyDescent="0.3">
      <c r="A429" s="1" t="s">
        <v>528</v>
      </c>
      <c r="B429" s="2">
        <v>46269</v>
      </c>
      <c r="C429" s="1" t="s">
        <v>31</v>
      </c>
      <c r="D429" s="1" t="s">
        <v>32</v>
      </c>
      <c r="E429" s="1" t="s">
        <v>33</v>
      </c>
      <c r="F429" s="1" t="s">
        <v>84</v>
      </c>
      <c r="G429" s="1" t="s">
        <v>85</v>
      </c>
      <c r="H429" s="1" t="s">
        <v>86</v>
      </c>
      <c r="I429" s="1">
        <v>111</v>
      </c>
      <c r="J429" s="1" t="s">
        <v>37</v>
      </c>
      <c r="K429" s="1">
        <v>50</v>
      </c>
      <c r="L429" s="1">
        <v>0.05</v>
      </c>
      <c r="M429" s="1">
        <v>5550</v>
      </c>
      <c r="N429" s="1">
        <v>5272.5</v>
      </c>
      <c r="O429" s="1">
        <v>3219</v>
      </c>
      <c r="P429" s="1">
        <v>2053.5</v>
      </c>
      <c r="Q429" s="1" t="s">
        <v>73</v>
      </c>
      <c r="R429" s="1" t="s">
        <v>38</v>
      </c>
      <c r="S429" s="1" t="s">
        <v>29</v>
      </c>
    </row>
    <row r="430" spans="1:19" x14ac:dyDescent="0.3">
      <c r="A430" s="1" t="s">
        <v>529</v>
      </c>
      <c r="B430" s="2">
        <v>46272</v>
      </c>
      <c r="C430" s="1" t="s">
        <v>88</v>
      </c>
      <c r="D430" s="1" t="s">
        <v>89</v>
      </c>
      <c r="E430" s="1" t="s">
        <v>62</v>
      </c>
      <c r="F430" s="1" t="s">
        <v>112</v>
      </c>
      <c r="G430" s="1" t="s">
        <v>113</v>
      </c>
      <c r="H430" s="1" t="s">
        <v>114</v>
      </c>
      <c r="I430" s="1">
        <v>161</v>
      </c>
      <c r="J430" s="1" t="s">
        <v>37</v>
      </c>
      <c r="K430" s="1">
        <v>20</v>
      </c>
      <c r="L430" s="1">
        <v>0</v>
      </c>
      <c r="M430" s="1">
        <v>3220</v>
      </c>
      <c r="N430" s="1">
        <v>3220</v>
      </c>
      <c r="O430" s="1">
        <v>1771</v>
      </c>
      <c r="P430" s="1">
        <v>1449</v>
      </c>
      <c r="Q430" s="1" t="s">
        <v>73</v>
      </c>
      <c r="R430" s="1" t="s">
        <v>67</v>
      </c>
      <c r="S430" s="1" t="s">
        <v>63</v>
      </c>
    </row>
    <row r="431" spans="1:19" x14ac:dyDescent="0.3">
      <c r="A431" s="1" t="s">
        <v>530</v>
      </c>
      <c r="B431" s="2">
        <v>46282</v>
      </c>
      <c r="C431" s="1" t="s">
        <v>106</v>
      </c>
      <c r="D431" s="1" t="s">
        <v>107</v>
      </c>
      <c r="E431" s="1" t="s">
        <v>108</v>
      </c>
      <c r="F431" s="1" t="s">
        <v>92</v>
      </c>
      <c r="G431" s="1" t="s">
        <v>93</v>
      </c>
      <c r="H431" s="1" t="s">
        <v>94</v>
      </c>
      <c r="I431" s="1">
        <v>120</v>
      </c>
      <c r="J431" s="1" t="s">
        <v>37</v>
      </c>
      <c r="K431" s="1">
        <v>15</v>
      </c>
      <c r="L431" s="1">
        <v>0.02</v>
      </c>
      <c r="M431" s="1">
        <v>1800</v>
      </c>
      <c r="N431" s="1">
        <v>1764</v>
      </c>
      <c r="O431" s="1">
        <v>1020</v>
      </c>
      <c r="P431" s="1">
        <v>744</v>
      </c>
      <c r="Q431" s="1" t="s">
        <v>27</v>
      </c>
      <c r="R431" s="1" t="s">
        <v>38</v>
      </c>
      <c r="S431" s="1" t="s">
        <v>68</v>
      </c>
    </row>
    <row r="432" spans="1:19" x14ac:dyDescent="0.3">
      <c r="A432" s="1" t="s">
        <v>531</v>
      </c>
      <c r="B432" s="2">
        <v>46270</v>
      </c>
      <c r="C432" s="1" t="s">
        <v>60</v>
      </c>
      <c r="D432" s="1" t="s">
        <v>61</v>
      </c>
      <c r="E432" s="1" t="s">
        <v>62</v>
      </c>
      <c r="F432" s="1" t="s">
        <v>116</v>
      </c>
      <c r="G432" s="1" t="s">
        <v>117</v>
      </c>
      <c r="H432" s="1" t="s">
        <v>118</v>
      </c>
      <c r="I432" s="1">
        <v>35</v>
      </c>
      <c r="J432" s="1" t="s">
        <v>37</v>
      </c>
      <c r="K432" s="1">
        <v>40</v>
      </c>
      <c r="L432" s="1">
        <v>0.05</v>
      </c>
      <c r="M432" s="1">
        <v>1400</v>
      </c>
      <c r="N432" s="1">
        <v>1330</v>
      </c>
      <c r="O432" s="1">
        <v>805</v>
      </c>
      <c r="P432" s="1">
        <v>525</v>
      </c>
      <c r="Q432" s="1" t="s">
        <v>73</v>
      </c>
      <c r="R432" s="1" t="s">
        <v>38</v>
      </c>
      <c r="S432" s="1" t="s">
        <v>68</v>
      </c>
    </row>
    <row r="433" spans="1:19" x14ac:dyDescent="0.3">
      <c r="A433" s="1" t="s">
        <v>532</v>
      </c>
      <c r="B433" s="2">
        <v>46272</v>
      </c>
      <c r="C433" s="1" t="s">
        <v>60</v>
      </c>
      <c r="D433" s="1" t="s">
        <v>61</v>
      </c>
      <c r="E433" s="1" t="s">
        <v>62</v>
      </c>
      <c r="F433" s="1" t="s">
        <v>101</v>
      </c>
      <c r="G433" s="1" t="s">
        <v>102</v>
      </c>
      <c r="H433" s="1" t="s">
        <v>103</v>
      </c>
      <c r="I433" s="1">
        <v>190</v>
      </c>
      <c r="J433" s="1" t="s">
        <v>37</v>
      </c>
      <c r="K433" s="1">
        <v>40</v>
      </c>
      <c r="L433" s="1">
        <v>0.02</v>
      </c>
      <c r="M433" s="1">
        <v>7600</v>
      </c>
      <c r="N433" s="1">
        <v>7448</v>
      </c>
      <c r="O433" s="1">
        <v>4370</v>
      </c>
      <c r="P433" s="1">
        <v>3078</v>
      </c>
      <c r="Q433" s="1" t="s">
        <v>73</v>
      </c>
      <c r="R433" s="1" t="s">
        <v>28</v>
      </c>
      <c r="S433" s="1" t="s">
        <v>63</v>
      </c>
    </row>
    <row r="434" spans="1:19" x14ac:dyDescent="0.3">
      <c r="A434" s="1" t="s">
        <v>533</v>
      </c>
      <c r="B434" s="2">
        <v>46274</v>
      </c>
      <c r="C434" s="1" t="s">
        <v>40</v>
      </c>
      <c r="D434" s="1" t="s">
        <v>41</v>
      </c>
      <c r="E434" s="1" t="s">
        <v>33</v>
      </c>
      <c r="F434" s="1" t="s">
        <v>101</v>
      </c>
      <c r="G434" s="1" t="s">
        <v>102</v>
      </c>
      <c r="H434" s="1" t="s">
        <v>103</v>
      </c>
      <c r="I434" s="1">
        <v>130</v>
      </c>
      <c r="J434" s="1" t="s">
        <v>37</v>
      </c>
      <c r="K434" s="1">
        <v>20</v>
      </c>
      <c r="L434" s="1">
        <v>0</v>
      </c>
      <c r="M434" s="1">
        <v>2600</v>
      </c>
      <c r="N434" s="1">
        <v>2600</v>
      </c>
      <c r="O434" s="1">
        <v>1495</v>
      </c>
      <c r="P434" s="1">
        <v>1105</v>
      </c>
      <c r="Q434" s="1" t="s">
        <v>73</v>
      </c>
      <c r="R434" s="1" t="s">
        <v>38</v>
      </c>
      <c r="S434" s="1" t="s">
        <v>29</v>
      </c>
    </row>
    <row r="435" spans="1:19" x14ac:dyDescent="0.3">
      <c r="A435" s="1" t="s">
        <v>534</v>
      </c>
      <c r="B435" s="2">
        <v>46291</v>
      </c>
      <c r="C435" s="1" t="s">
        <v>20</v>
      </c>
      <c r="D435" s="1" t="s">
        <v>21</v>
      </c>
      <c r="E435" s="1" t="s">
        <v>22</v>
      </c>
      <c r="F435" s="1" t="s">
        <v>56</v>
      </c>
      <c r="G435" s="1" t="s">
        <v>57</v>
      </c>
      <c r="H435" s="1" t="s">
        <v>58</v>
      </c>
      <c r="I435" s="1">
        <v>108</v>
      </c>
      <c r="J435" s="1" t="s">
        <v>26</v>
      </c>
      <c r="K435" s="1">
        <v>85</v>
      </c>
      <c r="L435" s="1">
        <v>0.05</v>
      </c>
      <c r="M435" s="1">
        <v>9180</v>
      </c>
      <c r="N435" s="1">
        <v>8721</v>
      </c>
      <c r="O435" s="1">
        <v>5508</v>
      </c>
      <c r="P435" s="1">
        <v>3213</v>
      </c>
      <c r="Q435" s="1" t="s">
        <v>27</v>
      </c>
      <c r="R435" s="1" t="s">
        <v>38</v>
      </c>
      <c r="S435" s="1" t="s">
        <v>29</v>
      </c>
    </row>
    <row r="436" spans="1:19" x14ac:dyDescent="0.3">
      <c r="A436" s="1" t="s">
        <v>535</v>
      </c>
      <c r="B436" s="2">
        <v>46271</v>
      </c>
      <c r="C436" s="1" t="s">
        <v>65</v>
      </c>
      <c r="D436" s="1" t="s">
        <v>66</v>
      </c>
      <c r="E436" s="1" t="s">
        <v>49</v>
      </c>
      <c r="F436" s="1" t="s">
        <v>101</v>
      </c>
      <c r="G436" s="1" t="s">
        <v>102</v>
      </c>
      <c r="H436" s="1" t="s">
        <v>103</v>
      </c>
      <c r="I436" s="1">
        <v>215</v>
      </c>
      <c r="J436" s="1" t="s">
        <v>53</v>
      </c>
      <c r="K436" s="1">
        <v>25</v>
      </c>
      <c r="L436" s="1">
        <v>0</v>
      </c>
      <c r="M436" s="1">
        <v>5375</v>
      </c>
      <c r="N436" s="1">
        <v>5375</v>
      </c>
      <c r="O436" s="1">
        <v>3053</v>
      </c>
      <c r="P436" s="1">
        <v>2322</v>
      </c>
      <c r="Q436" s="1" t="s">
        <v>45</v>
      </c>
      <c r="R436" s="1" t="s">
        <v>38</v>
      </c>
      <c r="S436" s="1" t="s">
        <v>63</v>
      </c>
    </row>
    <row r="437" spans="1:19" x14ac:dyDescent="0.3">
      <c r="A437" s="1" t="s">
        <v>536</v>
      </c>
      <c r="B437" s="2">
        <v>46291</v>
      </c>
      <c r="C437" s="1" t="s">
        <v>106</v>
      </c>
      <c r="D437" s="1" t="s">
        <v>107</v>
      </c>
      <c r="E437" s="1" t="s">
        <v>108</v>
      </c>
      <c r="F437" s="1" t="s">
        <v>127</v>
      </c>
      <c r="G437" s="1" t="s">
        <v>128</v>
      </c>
      <c r="H437" s="1" t="s">
        <v>129</v>
      </c>
      <c r="I437" s="1">
        <v>97</v>
      </c>
      <c r="J437" s="1" t="s">
        <v>37</v>
      </c>
      <c r="K437" s="1">
        <v>15</v>
      </c>
      <c r="L437" s="1">
        <v>0.02</v>
      </c>
      <c r="M437" s="1">
        <v>1455</v>
      </c>
      <c r="N437" s="1">
        <v>1425.9</v>
      </c>
      <c r="O437" s="1">
        <v>824.5</v>
      </c>
      <c r="P437" s="1">
        <v>601.4</v>
      </c>
      <c r="Q437" s="1" t="s">
        <v>27</v>
      </c>
      <c r="R437" s="1" t="s">
        <v>38</v>
      </c>
      <c r="S437" s="1" t="s">
        <v>63</v>
      </c>
    </row>
    <row r="438" spans="1:19" x14ac:dyDescent="0.3">
      <c r="A438" s="1" t="s">
        <v>537</v>
      </c>
      <c r="B438" s="2">
        <v>46273</v>
      </c>
      <c r="C438" s="1" t="s">
        <v>20</v>
      </c>
      <c r="D438" s="1" t="s">
        <v>21</v>
      </c>
      <c r="E438" s="1" t="s">
        <v>22</v>
      </c>
      <c r="F438" s="1" t="s">
        <v>78</v>
      </c>
      <c r="G438" s="1" t="s">
        <v>79</v>
      </c>
      <c r="H438" s="1" t="s">
        <v>80</v>
      </c>
      <c r="I438" s="1">
        <v>93</v>
      </c>
      <c r="J438" s="1" t="s">
        <v>26</v>
      </c>
      <c r="K438" s="1">
        <v>85</v>
      </c>
      <c r="L438" s="1">
        <v>0</v>
      </c>
      <c r="M438" s="1">
        <v>7905</v>
      </c>
      <c r="N438" s="1">
        <v>7905</v>
      </c>
      <c r="O438" s="1">
        <v>4743</v>
      </c>
      <c r="P438" s="1">
        <v>3162</v>
      </c>
      <c r="Q438" s="1" t="s">
        <v>45</v>
      </c>
      <c r="R438" s="1" t="s">
        <v>38</v>
      </c>
      <c r="S438" s="1" t="s">
        <v>63</v>
      </c>
    </row>
    <row r="439" spans="1:19" x14ac:dyDescent="0.3">
      <c r="A439" s="1" t="s">
        <v>538</v>
      </c>
      <c r="B439" s="2">
        <v>46284</v>
      </c>
      <c r="C439" s="1" t="s">
        <v>106</v>
      </c>
      <c r="D439" s="1" t="s">
        <v>107</v>
      </c>
      <c r="E439" s="1" t="s">
        <v>108</v>
      </c>
      <c r="F439" s="1" t="s">
        <v>56</v>
      </c>
      <c r="G439" s="1" t="s">
        <v>57</v>
      </c>
      <c r="H439" s="1" t="s">
        <v>58</v>
      </c>
      <c r="I439" s="1">
        <v>211</v>
      </c>
      <c r="J439" s="1" t="s">
        <v>37</v>
      </c>
      <c r="K439" s="1">
        <v>15</v>
      </c>
      <c r="L439" s="1">
        <v>0.05</v>
      </c>
      <c r="M439" s="1">
        <v>3165</v>
      </c>
      <c r="N439" s="1">
        <v>3006.75</v>
      </c>
      <c r="O439" s="1">
        <v>1793.5</v>
      </c>
      <c r="P439" s="1">
        <v>1213.25</v>
      </c>
      <c r="Q439" s="1" t="s">
        <v>73</v>
      </c>
      <c r="R439" s="1" t="s">
        <v>38</v>
      </c>
      <c r="S439" s="1" t="s">
        <v>29</v>
      </c>
    </row>
    <row r="440" spans="1:19" x14ac:dyDescent="0.3">
      <c r="A440" s="1" t="s">
        <v>539</v>
      </c>
      <c r="B440" s="2">
        <v>46269</v>
      </c>
      <c r="C440" s="1" t="s">
        <v>40</v>
      </c>
      <c r="D440" s="1" t="s">
        <v>41</v>
      </c>
      <c r="E440" s="1" t="s">
        <v>33</v>
      </c>
      <c r="F440" s="1" t="s">
        <v>84</v>
      </c>
      <c r="G440" s="1" t="s">
        <v>85</v>
      </c>
      <c r="H440" s="1" t="s">
        <v>86</v>
      </c>
      <c r="I440" s="1">
        <v>69</v>
      </c>
      <c r="J440" s="1" t="s">
        <v>37</v>
      </c>
      <c r="K440" s="1">
        <v>20</v>
      </c>
      <c r="L440" s="1">
        <v>0</v>
      </c>
      <c r="M440" s="1">
        <v>1380</v>
      </c>
      <c r="N440" s="1">
        <v>1380</v>
      </c>
      <c r="O440" s="1">
        <v>793.5</v>
      </c>
      <c r="P440" s="1">
        <v>586.5</v>
      </c>
      <c r="Q440" s="1" t="s">
        <v>54</v>
      </c>
      <c r="R440" s="1" t="s">
        <v>67</v>
      </c>
      <c r="S440" s="1" t="s">
        <v>63</v>
      </c>
    </row>
    <row r="441" spans="1:19" x14ac:dyDescent="0.3">
      <c r="A441" s="1" t="s">
        <v>540</v>
      </c>
      <c r="B441" s="2">
        <v>46269</v>
      </c>
      <c r="C441" s="1" t="s">
        <v>82</v>
      </c>
      <c r="D441" s="1" t="s">
        <v>83</v>
      </c>
      <c r="E441" s="1" t="s">
        <v>33</v>
      </c>
      <c r="F441" s="1" t="s">
        <v>84</v>
      </c>
      <c r="G441" s="1" t="s">
        <v>85</v>
      </c>
      <c r="H441" s="1" t="s">
        <v>86</v>
      </c>
      <c r="I441" s="1">
        <v>192</v>
      </c>
      <c r="J441" s="1" t="s">
        <v>37</v>
      </c>
      <c r="K441" s="1">
        <v>35</v>
      </c>
      <c r="L441" s="1">
        <v>0.05</v>
      </c>
      <c r="M441" s="1">
        <v>6720</v>
      </c>
      <c r="N441" s="1">
        <v>6384</v>
      </c>
      <c r="O441" s="1">
        <v>3840</v>
      </c>
      <c r="P441" s="1">
        <v>2544</v>
      </c>
      <c r="Q441" s="1" t="s">
        <v>73</v>
      </c>
      <c r="R441" s="1" t="s">
        <v>38</v>
      </c>
      <c r="S441" s="1" t="s">
        <v>63</v>
      </c>
    </row>
    <row r="442" spans="1:19" x14ac:dyDescent="0.3">
      <c r="A442" s="1" t="s">
        <v>541</v>
      </c>
      <c r="B442" s="2">
        <v>46277</v>
      </c>
      <c r="C442" s="1" t="s">
        <v>76</v>
      </c>
      <c r="D442" s="1" t="s">
        <v>77</v>
      </c>
      <c r="E442" s="1" t="s">
        <v>33</v>
      </c>
      <c r="F442" s="1" t="s">
        <v>97</v>
      </c>
      <c r="G442" s="1" t="s">
        <v>98</v>
      </c>
      <c r="H442" s="1" t="s">
        <v>94</v>
      </c>
      <c r="I442" s="1">
        <v>152</v>
      </c>
      <c r="J442" s="1" t="s">
        <v>37</v>
      </c>
      <c r="K442" s="1">
        <v>20</v>
      </c>
      <c r="L442" s="1">
        <v>0</v>
      </c>
      <c r="M442" s="1">
        <v>3040</v>
      </c>
      <c r="N442" s="1">
        <v>3040</v>
      </c>
      <c r="O442" s="1">
        <v>1793.6</v>
      </c>
      <c r="P442" s="1">
        <v>1246.4000000000001</v>
      </c>
      <c r="Q442" s="1" t="s">
        <v>27</v>
      </c>
      <c r="R442" s="1" t="s">
        <v>28</v>
      </c>
      <c r="S442" s="1" t="s">
        <v>63</v>
      </c>
    </row>
    <row r="443" spans="1:19" x14ac:dyDescent="0.3">
      <c r="A443" s="1" t="s">
        <v>542</v>
      </c>
      <c r="B443" s="2">
        <v>46280</v>
      </c>
      <c r="C443" s="1" t="s">
        <v>47</v>
      </c>
      <c r="D443" s="1" t="s">
        <v>48</v>
      </c>
      <c r="E443" s="1" t="s">
        <v>49</v>
      </c>
      <c r="F443" s="1" t="s">
        <v>23</v>
      </c>
      <c r="G443" s="1" t="s">
        <v>24</v>
      </c>
      <c r="H443" s="1" t="s">
        <v>25</v>
      </c>
      <c r="I443" s="1">
        <v>110</v>
      </c>
      <c r="J443" s="1" t="s">
        <v>53</v>
      </c>
      <c r="K443" s="1">
        <v>25</v>
      </c>
      <c r="L443" s="1">
        <v>0.03</v>
      </c>
      <c r="M443" s="1">
        <v>2750</v>
      </c>
      <c r="N443" s="1">
        <v>2667.5</v>
      </c>
      <c r="O443" s="1">
        <v>1540</v>
      </c>
      <c r="P443" s="1">
        <v>1127.5</v>
      </c>
      <c r="Q443" s="1" t="s">
        <v>27</v>
      </c>
      <c r="R443" s="1" t="s">
        <v>38</v>
      </c>
      <c r="S443" s="1" t="s">
        <v>29</v>
      </c>
    </row>
    <row r="444" spans="1:19" x14ac:dyDescent="0.3">
      <c r="A444" s="1" t="s">
        <v>543</v>
      </c>
      <c r="B444" s="2">
        <v>46287</v>
      </c>
      <c r="C444" s="1" t="s">
        <v>82</v>
      </c>
      <c r="D444" s="1" t="s">
        <v>83</v>
      </c>
      <c r="E444" s="1" t="s">
        <v>33</v>
      </c>
      <c r="F444" s="1" t="s">
        <v>42</v>
      </c>
      <c r="G444" s="1" t="s">
        <v>43</v>
      </c>
      <c r="H444" s="1" t="s">
        <v>44</v>
      </c>
      <c r="I444" s="1">
        <v>30</v>
      </c>
      <c r="J444" s="1" t="s">
        <v>37</v>
      </c>
      <c r="K444" s="1">
        <v>35</v>
      </c>
      <c r="L444" s="1">
        <v>0.03</v>
      </c>
      <c r="M444" s="1">
        <v>1050</v>
      </c>
      <c r="N444" s="1">
        <v>1018.5</v>
      </c>
      <c r="O444" s="1">
        <v>600</v>
      </c>
      <c r="P444" s="1">
        <v>418.5</v>
      </c>
      <c r="Q444" s="1" t="s">
        <v>27</v>
      </c>
      <c r="R444" s="1" t="s">
        <v>38</v>
      </c>
      <c r="S444" s="1" t="s">
        <v>29</v>
      </c>
    </row>
    <row r="445" spans="1:19" x14ac:dyDescent="0.3">
      <c r="A445" s="1" t="s">
        <v>544</v>
      </c>
      <c r="B445" s="2">
        <v>46290</v>
      </c>
      <c r="C445" s="1" t="s">
        <v>31</v>
      </c>
      <c r="D445" s="1" t="s">
        <v>32</v>
      </c>
      <c r="E445" s="1" t="s">
        <v>33</v>
      </c>
      <c r="F445" s="1" t="s">
        <v>142</v>
      </c>
      <c r="G445" s="1" t="s">
        <v>143</v>
      </c>
      <c r="H445" s="1" t="s">
        <v>144</v>
      </c>
      <c r="I445" s="1">
        <v>85</v>
      </c>
      <c r="J445" s="1" t="s">
        <v>37</v>
      </c>
      <c r="K445" s="1">
        <v>50</v>
      </c>
      <c r="L445" s="1">
        <v>0.03</v>
      </c>
      <c r="M445" s="1">
        <v>4250</v>
      </c>
      <c r="N445" s="1">
        <v>4122.5</v>
      </c>
      <c r="O445" s="1">
        <v>2465</v>
      </c>
      <c r="P445" s="1">
        <v>1657.5</v>
      </c>
      <c r="Q445" s="1" t="s">
        <v>27</v>
      </c>
      <c r="R445" s="1" t="s">
        <v>67</v>
      </c>
      <c r="S445" s="1" t="s">
        <v>68</v>
      </c>
    </row>
    <row r="446" spans="1:19" x14ac:dyDescent="0.3">
      <c r="A446" s="1" t="s">
        <v>545</v>
      </c>
      <c r="B446" s="2">
        <v>46292</v>
      </c>
      <c r="C446" s="1" t="s">
        <v>65</v>
      </c>
      <c r="D446" s="1" t="s">
        <v>66</v>
      </c>
      <c r="E446" s="1" t="s">
        <v>49</v>
      </c>
      <c r="F446" s="1" t="s">
        <v>70</v>
      </c>
      <c r="G446" s="1" t="s">
        <v>71</v>
      </c>
      <c r="H446" s="1" t="s">
        <v>72</v>
      </c>
      <c r="I446" s="1">
        <v>191</v>
      </c>
      <c r="J446" s="1" t="s">
        <v>53</v>
      </c>
      <c r="K446" s="1">
        <v>25</v>
      </c>
      <c r="L446" s="1">
        <v>0.02</v>
      </c>
      <c r="M446" s="1">
        <v>4775</v>
      </c>
      <c r="N446" s="1">
        <v>4679.5</v>
      </c>
      <c r="O446" s="1">
        <v>2712.2</v>
      </c>
      <c r="P446" s="1">
        <v>1967.3</v>
      </c>
      <c r="Q446" s="1" t="s">
        <v>45</v>
      </c>
      <c r="R446" s="1" t="s">
        <v>38</v>
      </c>
      <c r="S446" s="1" t="s">
        <v>63</v>
      </c>
    </row>
    <row r="447" spans="1:19" x14ac:dyDescent="0.3">
      <c r="A447" s="1" t="s">
        <v>546</v>
      </c>
      <c r="B447" s="2">
        <v>46270</v>
      </c>
      <c r="C447" s="1" t="s">
        <v>31</v>
      </c>
      <c r="D447" s="1" t="s">
        <v>32</v>
      </c>
      <c r="E447" s="1" t="s">
        <v>33</v>
      </c>
      <c r="F447" s="1" t="s">
        <v>97</v>
      </c>
      <c r="G447" s="1" t="s">
        <v>98</v>
      </c>
      <c r="H447" s="1" t="s">
        <v>94</v>
      </c>
      <c r="I447" s="1">
        <v>66</v>
      </c>
      <c r="J447" s="1" t="s">
        <v>37</v>
      </c>
      <c r="K447" s="1">
        <v>50</v>
      </c>
      <c r="L447" s="1">
        <v>0</v>
      </c>
      <c r="M447" s="1">
        <v>3300</v>
      </c>
      <c r="N447" s="1">
        <v>3300</v>
      </c>
      <c r="O447" s="1">
        <v>1914</v>
      </c>
      <c r="P447" s="1">
        <v>1386</v>
      </c>
      <c r="Q447" s="1" t="s">
        <v>45</v>
      </c>
      <c r="R447" s="1" t="s">
        <v>38</v>
      </c>
      <c r="S447" s="1" t="s">
        <v>68</v>
      </c>
    </row>
    <row r="448" spans="1:19" x14ac:dyDescent="0.3">
      <c r="A448" s="1" t="s">
        <v>547</v>
      </c>
      <c r="B448" s="2">
        <v>46276</v>
      </c>
      <c r="C448" s="1" t="s">
        <v>40</v>
      </c>
      <c r="D448" s="1" t="s">
        <v>41</v>
      </c>
      <c r="E448" s="1" t="s">
        <v>33</v>
      </c>
      <c r="F448" s="1" t="s">
        <v>142</v>
      </c>
      <c r="G448" s="1" t="s">
        <v>143</v>
      </c>
      <c r="H448" s="1" t="s">
        <v>144</v>
      </c>
      <c r="I448" s="1">
        <v>184</v>
      </c>
      <c r="J448" s="1" t="s">
        <v>37</v>
      </c>
      <c r="K448" s="1">
        <v>20</v>
      </c>
      <c r="L448" s="1">
        <v>0</v>
      </c>
      <c r="M448" s="1">
        <v>3680</v>
      </c>
      <c r="N448" s="1">
        <v>3680</v>
      </c>
      <c r="O448" s="1">
        <v>2116</v>
      </c>
      <c r="P448" s="1">
        <v>1564</v>
      </c>
      <c r="Q448" s="1" t="s">
        <v>27</v>
      </c>
      <c r="R448" s="1" t="s">
        <v>38</v>
      </c>
      <c r="S448" s="1" t="s">
        <v>63</v>
      </c>
    </row>
    <row r="449" spans="1:19" x14ac:dyDescent="0.3">
      <c r="A449" s="1" t="s">
        <v>548</v>
      </c>
      <c r="B449" s="2">
        <v>46284</v>
      </c>
      <c r="C449" s="1" t="s">
        <v>47</v>
      </c>
      <c r="D449" s="1" t="s">
        <v>48</v>
      </c>
      <c r="E449" s="1" t="s">
        <v>49</v>
      </c>
      <c r="F449" s="1" t="s">
        <v>116</v>
      </c>
      <c r="G449" s="1" t="s">
        <v>117</v>
      </c>
      <c r="H449" s="1" t="s">
        <v>118</v>
      </c>
      <c r="I449" s="1">
        <v>40</v>
      </c>
      <c r="J449" s="1" t="s">
        <v>53</v>
      </c>
      <c r="K449" s="1">
        <v>25</v>
      </c>
      <c r="L449" s="1">
        <v>0.03</v>
      </c>
      <c r="M449" s="1">
        <v>1000</v>
      </c>
      <c r="N449" s="1">
        <v>970</v>
      </c>
      <c r="O449" s="1">
        <v>560</v>
      </c>
      <c r="P449" s="1">
        <v>410</v>
      </c>
      <c r="Q449" s="1" t="s">
        <v>73</v>
      </c>
      <c r="R449" s="1" t="s">
        <v>38</v>
      </c>
      <c r="S449" s="1" t="s">
        <v>68</v>
      </c>
    </row>
    <row r="450" spans="1:19" x14ac:dyDescent="0.3">
      <c r="A450" s="1" t="s">
        <v>549</v>
      </c>
      <c r="B450" s="2">
        <v>46270</v>
      </c>
      <c r="C450" s="1" t="s">
        <v>47</v>
      </c>
      <c r="D450" s="1" t="s">
        <v>48</v>
      </c>
      <c r="E450" s="1" t="s">
        <v>49</v>
      </c>
      <c r="F450" s="1" t="s">
        <v>116</v>
      </c>
      <c r="G450" s="1" t="s">
        <v>117</v>
      </c>
      <c r="H450" s="1" t="s">
        <v>118</v>
      </c>
      <c r="I450" s="1">
        <v>119</v>
      </c>
      <c r="J450" s="1" t="s">
        <v>53</v>
      </c>
      <c r="K450" s="1">
        <v>25</v>
      </c>
      <c r="L450" s="1">
        <v>0.02</v>
      </c>
      <c r="M450" s="1">
        <v>2975</v>
      </c>
      <c r="N450" s="1">
        <v>2915.5</v>
      </c>
      <c r="O450" s="1">
        <v>1666</v>
      </c>
      <c r="P450" s="1">
        <v>1249.5</v>
      </c>
      <c r="Q450" s="1" t="s">
        <v>73</v>
      </c>
      <c r="R450" s="1" t="s">
        <v>38</v>
      </c>
      <c r="S450" s="1" t="s">
        <v>63</v>
      </c>
    </row>
    <row r="451" spans="1:19" x14ac:dyDescent="0.3">
      <c r="A451" s="1" t="s">
        <v>550</v>
      </c>
      <c r="B451" s="2">
        <v>46278</v>
      </c>
      <c r="C451" s="1" t="s">
        <v>31</v>
      </c>
      <c r="D451" s="1" t="s">
        <v>32</v>
      </c>
      <c r="E451" s="1" t="s">
        <v>33</v>
      </c>
      <c r="F451" s="1" t="s">
        <v>34</v>
      </c>
      <c r="G451" s="1" t="s">
        <v>35</v>
      </c>
      <c r="H451" s="1" t="s">
        <v>36</v>
      </c>
      <c r="I451" s="1">
        <v>176</v>
      </c>
      <c r="J451" s="1" t="s">
        <v>37</v>
      </c>
      <c r="K451" s="1">
        <v>50</v>
      </c>
      <c r="L451" s="1">
        <v>0</v>
      </c>
      <c r="M451" s="1">
        <v>8800</v>
      </c>
      <c r="N451" s="1">
        <v>8800</v>
      </c>
      <c r="O451" s="1">
        <v>5104</v>
      </c>
      <c r="P451" s="1">
        <v>3696</v>
      </c>
      <c r="Q451" s="1" t="s">
        <v>45</v>
      </c>
      <c r="R451" s="1" t="s">
        <v>38</v>
      </c>
      <c r="S451" s="1"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B7E3-8A9F-4505-A991-F03A44F3A55F}">
  <dimension ref="A1:G61"/>
  <sheetViews>
    <sheetView workbookViewId="0">
      <selection activeCell="C7" sqref="A1:G61"/>
    </sheetView>
  </sheetViews>
  <sheetFormatPr defaultColWidth="15.5546875" defaultRowHeight="14.4" x14ac:dyDescent="0.3"/>
  <cols>
    <col min="1" max="1" width="15.109375" customWidth="1"/>
    <col min="2" max="2" width="13" customWidth="1"/>
    <col min="3" max="3" width="18.5546875" customWidth="1"/>
    <col min="5" max="5" width="13.33203125" customWidth="1"/>
    <col min="6" max="6" width="16.33203125" customWidth="1"/>
  </cols>
  <sheetData>
    <row r="1" spans="1:7" x14ac:dyDescent="0.3">
      <c r="A1" s="19" t="s">
        <v>579</v>
      </c>
      <c r="B1" s="19" t="s">
        <v>580</v>
      </c>
      <c r="C1" s="19" t="s">
        <v>581</v>
      </c>
      <c r="D1" s="19" t="s">
        <v>582</v>
      </c>
      <c r="E1" s="19" t="s">
        <v>583</v>
      </c>
      <c r="F1" s="19" t="s">
        <v>584</v>
      </c>
      <c r="G1" s="19" t="s">
        <v>585</v>
      </c>
    </row>
    <row r="2" spans="1:7" x14ac:dyDescent="0.3">
      <c r="A2" s="20" t="s">
        <v>586</v>
      </c>
      <c r="B2" s="21">
        <v>46289</v>
      </c>
      <c r="C2" s="20" t="s">
        <v>587</v>
      </c>
      <c r="D2" s="20" t="s">
        <v>588</v>
      </c>
      <c r="E2" s="20">
        <v>10706</v>
      </c>
      <c r="F2" s="20" t="s">
        <v>589</v>
      </c>
      <c r="G2" s="20" t="s">
        <v>590</v>
      </c>
    </row>
    <row r="3" spans="1:7" x14ac:dyDescent="0.3">
      <c r="A3" s="20" t="s">
        <v>591</v>
      </c>
      <c r="B3" s="21">
        <v>46271</v>
      </c>
      <c r="C3" s="20" t="s">
        <v>592</v>
      </c>
      <c r="D3" s="20" t="s">
        <v>593</v>
      </c>
      <c r="E3" s="20">
        <v>13916</v>
      </c>
      <c r="F3" s="20" t="s">
        <v>67</v>
      </c>
      <c r="G3" s="20" t="s">
        <v>594</v>
      </c>
    </row>
    <row r="4" spans="1:7" x14ac:dyDescent="0.3">
      <c r="A4" s="20" t="s">
        <v>595</v>
      </c>
      <c r="B4" s="21">
        <v>46285</v>
      </c>
      <c r="C4" s="20" t="s">
        <v>596</v>
      </c>
      <c r="D4" s="20" t="s">
        <v>593</v>
      </c>
      <c r="E4" s="20">
        <v>11102</v>
      </c>
      <c r="F4" s="20" t="s">
        <v>67</v>
      </c>
      <c r="G4" s="20" t="s">
        <v>597</v>
      </c>
    </row>
    <row r="5" spans="1:7" x14ac:dyDescent="0.3">
      <c r="A5" s="20" t="s">
        <v>598</v>
      </c>
      <c r="B5" s="21">
        <v>46288</v>
      </c>
      <c r="C5" s="20" t="s">
        <v>592</v>
      </c>
      <c r="D5" s="20" t="s">
        <v>593</v>
      </c>
      <c r="E5" s="20">
        <v>17115</v>
      </c>
      <c r="F5" s="20" t="s">
        <v>67</v>
      </c>
      <c r="G5" s="20" t="s">
        <v>597</v>
      </c>
    </row>
    <row r="6" spans="1:7" x14ac:dyDescent="0.3">
      <c r="A6" s="20" t="s">
        <v>599</v>
      </c>
      <c r="B6" s="21">
        <v>46288</v>
      </c>
      <c r="C6" s="20" t="s">
        <v>587</v>
      </c>
      <c r="D6" s="20" t="s">
        <v>588</v>
      </c>
      <c r="E6" s="20">
        <v>11964</v>
      </c>
      <c r="F6" s="20" t="s">
        <v>589</v>
      </c>
      <c r="G6" s="20" t="s">
        <v>590</v>
      </c>
    </row>
    <row r="7" spans="1:7" x14ac:dyDescent="0.3">
      <c r="A7" s="20" t="s">
        <v>600</v>
      </c>
      <c r="B7" s="21">
        <v>46272</v>
      </c>
      <c r="C7" s="20" t="s">
        <v>601</v>
      </c>
      <c r="D7" s="20" t="s">
        <v>593</v>
      </c>
      <c r="E7" s="20">
        <v>15262</v>
      </c>
      <c r="F7" s="20" t="s">
        <v>67</v>
      </c>
      <c r="G7" s="20" t="s">
        <v>602</v>
      </c>
    </row>
    <row r="8" spans="1:7" x14ac:dyDescent="0.3">
      <c r="A8" s="20" t="s">
        <v>603</v>
      </c>
      <c r="B8" s="21">
        <v>46284</v>
      </c>
      <c r="C8" s="20" t="s">
        <v>587</v>
      </c>
      <c r="D8" s="20" t="s">
        <v>604</v>
      </c>
      <c r="E8" s="20">
        <v>3045</v>
      </c>
      <c r="F8" s="20" t="s">
        <v>67</v>
      </c>
      <c r="G8" s="20" t="s">
        <v>594</v>
      </c>
    </row>
    <row r="9" spans="1:7" x14ac:dyDescent="0.3">
      <c r="A9" s="20" t="s">
        <v>605</v>
      </c>
      <c r="B9" s="21">
        <v>46290</v>
      </c>
      <c r="C9" s="20" t="s">
        <v>606</v>
      </c>
      <c r="D9" s="20" t="s">
        <v>593</v>
      </c>
      <c r="E9" s="20">
        <v>10522</v>
      </c>
      <c r="F9" s="20" t="s">
        <v>589</v>
      </c>
      <c r="G9" s="20" t="s">
        <v>607</v>
      </c>
    </row>
    <row r="10" spans="1:7" x14ac:dyDescent="0.3">
      <c r="A10" s="20" t="s">
        <v>608</v>
      </c>
      <c r="B10" s="21">
        <v>46285</v>
      </c>
      <c r="C10" s="20" t="s">
        <v>606</v>
      </c>
      <c r="D10" s="20" t="s">
        <v>609</v>
      </c>
      <c r="E10" s="20">
        <v>14015</v>
      </c>
      <c r="F10" s="20" t="s">
        <v>589</v>
      </c>
      <c r="G10" s="20" t="s">
        <v>610</v>
      </c>
    </row>
    <row r="11" spans="1:7" x14ac:dyDescent="0.3">
      <c r="A11" s="20" t="s">
        <v>611</v>
      </c>
      <c r="B11" s="21">
        <v>46286</v>
      </c>
      <c r="C11" s="20" t="s">
        <v>596</v>
      </c>
      <c r="D11" s="20" t="s">
        <v>609</v>
      </c>
      <c r="E11" s="20">
        <v>11564</v>
      </c>
      <c r="F11" s="20" t="s">
        <v>589</v>
      </c>
      <c r="G11" s="20" t="s">
        <v>612</v>
      </c>
    </row>
    <row r="12" spans="1:7" x14ac:dyDescent="0.3">
      <c r="A12" s="20" t="s">
        <v>613</v>
      </c>
      <c r="B12" s="21">
        <v>46295</v>
      </c>
      <c r="C12" s="20" t="s">
        <v>606</v>
      </c>
      <c r="D12" s="20" t="s">
        <v>604</v>
      </c>
      <c r="E12" s="20">
        <v>3171</v>
      </c>
      <c r="F12" s="20" t="s">
        <v>589</v>
      </c>
      <c r="G12" s="20" t="s">
        <v>614</v>
      </c>
    </row>
    <row r="13" spans="1:7" x14ac:dyDescent="0.3">
      <c r="A13" s="20" t="s">
        <v>615</v>
      </c>
      <c r="B13" s="21">
        <v>46272</v>
      </c>
      <c r="C13" s="20" t="s">
        <v>587</v>
      </c>
      <c r="D13" s="20" t="s">
        <v>593</v>
      </c>
      <c r="E13" s="20">
        <v>18263</v>
      </c>
      <c r="F13" s="20" t="s">
        <v>67</v>
      </c>
      <c r="G13" s="20" t="s">
        <v>607</v>
      </c>
    </row>
    <row r="14" spans="1:7" x14ac:dyDescent="0.3">
      <c r="A14" s="20" t="s">
        <v>616</v>
      </c>
      <c r="B14" s="21">
        <v>46280</v>
      </c>
      <c r="C14" s="20" t="s">
        <v>601</v>
      </c>
      <c r="D14" s="20" t="s">
        <v>604</v>
      </c>
      <c r="E14" s="20">
        <v>15414</v>
      </c>
      <c r="F14" s="20" t="s">
        <v>589</v>
      </c>
      <c r="G14" s="20" t="s">
        <v>617</v>
      </c>
    </row>
    <row r="15" spans="1:7" x14ac:dyDescent="0.3">
      <c r="A15" s="20" t="s">
        <v>618</v>
      </c>
      <c r="B15" s="21">
        <v>46277</v>
      </c>
      <c r="C15" s="20" t="s">
        <v>606</v>
      </c>
      <c r="D15" s="20" t="s">
        <v>588</v>
      </c>
      <c r="E15" s="20">
        <v>9042</v>
      </c>
      <c r="F15" s="20" t="s">
        <v>67</v>
      </c>
      <c r="G15" s="20" t="s">
        <v>610</v>
      </c>
    </row>
    <row r="16" spans="1:7" x14ac:dyDescent="0.3">
      <c r="A16" s="20" t="s">
        <v>619</v>
      </c>
      <c r="B16" s="21">
        <v>46292</v>
      </c>
      <c r="C16" s="20" t="s">
        <v>592</v>
      </c>
      <c r="D16" s="20" t="s">
        <v>609</v>
      </c>
      <c r="E16" s="20">
        <v>17855</v>
      </c>
      <c r="F16" s="20" t="s">
        <v>589</v>
      </c>
      <c r="G16" s="20" t="s">
        <v>597</v>
      </c>
    </row>
    <row r="17" spans="1:7" x14ac:dyDescent="0.3">
      <c r="A17" s="20" t="s">
        <v>620</v>
      </c>
      <c r="B17" s="21">
        <v>46287</v>
      </c>
      <c r="C17" s="20" t="s">
        <v>587</v>
      </c>
      <c r="D17" s="20" t="s">
        <v>604</v>
      </c>
      <c r="E17" s="20">
        <v>5274</v>
      </c>
      <c r="F17" s="20" t="s">
        <v>67</v>
      </c>
      <c r="G17" s="20" t="s">
        <v>621</v>
      </c>
    </row>
    <row r="18" spans="1:7" x14ac:dyDescent="0.3">
      <c r="A18" s="20" t="s">
        <v>622</v>
      </c>
      <c r="B18" s="21">
        <v>46275</v>
      </c>
      <c r="C18" s="20" t="s">
        <v>592</v>
      </c>
      <c r="D18" s="20" t="s">
        <v>604</v>
      </c>
      <c r="E18" s="20">
        <v>9131</v>
      </c>
      <c r="F18" s="20" t="s">
        <v>67</v>
      </c>
      <c r="G18" s="20" t="s">
        <v>602</v>
      </c>
    </row>
    <row r="19" spans="1:7" x14ac:dyDescent="0.3">
      <c r="A19" s="20" t="s">
        <v>623</v>
      </c>
      <c r="B19" s="21">
        <v>46294</v>
      </c>
      <c r="C19" s="20" t="s">
        <v>601</v>
      </c>
      <c r="D19" s="20" t="s">
        <v>604</v>
      </c>
      <c r="E19" s="20">
        <v>6073</v>
      </c>
      <c r="F19" s="20" t="s">
        <v>67</v>
      </c>
      <c r="G19" s="20" t="s">
        <v>612</v>
      </c>
    </row>
    <row r="20" spans="1:7" x14ac:dyDescent="0.3">
      <c r="A20" s="20" t="s">
        <v>624</v>
      </c>
      <c r="B20" s="21">
        <v>46279</v>
      </c>
      <c r="C20" s="20" t="s">
        <v>625</v>
      </c>
      <c r="D20" s="20" t="s">
        <v>609</v>
      </c>
      <c r="E20" s="20">
        <v>6492</v>
      </c>
      <c r="F20" s="20" t="s">
        <v>67</v>
      </c>
      <c r="G20" s="20" t="s">
        <v>610</v>
      </c>
    </row>
    <row r="21" spans="1:7" x14ac:dyDescent="0.3">
      <c r="A21" s="20" t="s">
        <v>626</v>
      </c>
      <c r="B21" s="21">
        <v>46273</v>
      </c>
      <c r="C21" s="20" t="s">
        <v>606</v>
      </c>
      <c r="D21" s="20" t="s">
        <v>593</v>
      </c>
      <c r="E21" s="20">
        <v>3189</v>
      </c>
      <c r="F21" s="20" t="s">
        <v>589</v>
      </c>
      <c r="G21" s="20" t="s">
        <v>612</v>
      </c>
    </row>
    <row r="22" spans="1:7" x14ac:dyDescent="0.3">
      <c r="A22" s="20" t="s">
        <v>627</v>
      </c>
      <c r="B22" s="21">
        <v>46281</v>
      </c>
      <c r="C22" s="20" t="s">
        <v>625</v>
      </c>
      <c r="D22" s="20" t="s">
        <v>588</v>
      </c>
      <c r="E22" s="20">
        <v>13037</v>
      </c>
      <c r="F22" s="20" t="s">
        <v>589</v>
      </c>
      <c r="G22" s="20" t="s">
        <v>594</v>
      </c>
    </row>
    <row r="23" spans="1:7" x14ac:dyDescent="0.3">
      <c r="A23" s="20" t="s">
        <v>628</v>
      </c>
      <c r="B23" s="21">
        <v>46275</v>
      </c>
      <c r="C23" s="20" t="s">
        <v>596</v>
      </c>
      <c r="D23" s="20" t="s">
        <v>593</v>
      </c>
      <c r="E23" s="20">
        <v>1815</v>
      </c>
      <c r="F23" s="20" t="s">
        <v>589</v>
      </c>
      <c r="G23" s="20" t="s">
        <v>610</v>
      </c>
    </row>
    <row r="24" spans="1:7" x14ac:dyDescent="0.3">
      <c r="A24" s="20" t="s">
        <v>629</v>
      </c>
      <c r="B24" s="21">
        <v>46294</v>
      </c>
      <c r="C24" s="20" t="s">
        <v>630</v>
      </c>
      <c r="D24" s="20" t="s">
        <v>593</v>
      </c>
      <c r="E24" s="20">
        <v>15701</v>
      </c>
      <c r="F24" s="20" t="s">
        <v>589</v>
      </c>
      <c r="G24" s="20" t="s">
        <v>612</v>
      </c>
    </row>
    <row r="25" spans="1:7" x14ac:dyDescent="0.3">
      <c r="A25" s="20" t="s">
        <v>631</v>
      </c>
      <c r="B25" s="21">
        <v>46293</v>
      </c>
      <c r="C25" s="20" t="s">
        <v>592</v>
      </c>
      <c r="D25" s="20" t="s">
        <v>588</v>
      </c>
      <c r="E25" s="20">
        <v>8717</v>
      </c>
      <c r="F25" s="20" t="s">
        <v>67</v>
      </c>
      <c r="G25" s="20" t="s">
        <v>614</v>
      </c>
    </row>
    <row r="26" spans="1:7" x14ac:dyDescent="0.3">
      <c r="A26" s="20" t="s">
        <v>632</v>
      </c>
      <c r="B26" s="21">
        <v>46278</v>
      </c>
      <c r="C26" s="20" t="s">
        <v>625</v>
      </c>
      <c r="D26" s="20" t="s">
        <v>609</v>
      </c>
      <c r="E26" s="20">
        <v>3203</v>
      </c>
      <c r="F26" s="20" t="s">
        <v>67</v>
      </c>
      <c r="G26" s="20" t="s">
        <v>607</v>
      </c>
    </row>
    <row r="27" spans="1:7" x14ac:dyDescent="0.3">
      <c r="A27" s="20" t="s">
        <v>633</v>
      </c>
      <c r="B27" s="21">
        <v>46288</v>
      </c>
      <c r="C27" s="20" t="s">
        <v>596</v>
      </c>
      <c r="D27" s="20" t="s">
        <v>588</v>
      </c>
      <c r="E27" s="20">
        <v>6606</v>
      </c>
      <c r="F27" s="20" t="s">
        <v>589</v>
      </c>
      <c r="G27" s="20" t="s">
        <v>634</v>
      </c>
    </row>
    <row r="28" spans="1:7" x14ac:dyDescent="0.3">
      <c r="A28" s="20" t="s">
        <v>635</v>
      </c>
      <c r="B28" s="21">
        <v>46280</v>
      </c>
      <c r="C28" s="20" t="s">
        <v>596</v>
      </c>
      <c r="D28" s="20" t="s">
        <v>609</v>
      </c>
      <c r="E28" s="20">
        <v>2379</v>
      </c>
      <c r="F28" s="20" t="s">
        <v>589</v>
      </c>
      <c r="G28" s="20" t="s">
        <v>590</v>
      </c>
    </row>
    <row r="29" spans="1:7" x14ac:dyDescent="0.3">
      <c r="A29" s="20" t="s">
        <v>636</v>
      </c>
      <c r="B29" s="21">
        <v>46280</v>
      </c>
      <c r="C29" s="20" t="s">
        <v>606</v>
      </c>
      <c r="D29" s="20" t="s">
        <v>609</v>
      </c>
      <c r="E29" s="20">
        <v>8360</v>
      </c>
      <c r="F29" s="20" t="s">
        <v>589</v>
      </c>
      <c r="G29" s="20" t="s">
        <v>610</v>
      </c>
    </row>
    <row r="30" spans="1:7" x14ac:dyDescent="0.3">
      <c r="A30" s="20" t="s">
        <v>637</v>
      </c>
      <c r="B30" s="21">
        <v>46285</v>
      </c>
      <c r="C30" s="20" t="s">
        <v>625</v>
      </c>
      <c r="D30" s="20" t="s">
        <v>593</v>
      </c>
      <c r="E30" s="20">
        <v>7567</v>
      </c>
      <c r="F30" s="20" t="s">
        <v>589</v>
      </c>
      <c r="G30" s="20" t="s">
        <v>614</v>
      </c>
    </row>
    <row r="31" spans="1:7" x14ac:dyDescent="0.3">
      <c r="A31" s="20" t="s">
        <v>638</v>
      </c>
      <c r="B31" s="21">
        <v>46287</v>
      </c>
      <c r="C31" s="20" t="s">
        <v>601</v>
      </c>
      <c r="D31" s="20" t="s">
        <v>588</v>
      </c>
      <c r="E31" s="20">
        <v>1303</v>
      </c>
      <c r="F31" s="20" t="s">
        <v>589</v>
      </c>
      <c r="G31" s="20" t="s">
        <v>614</v>
      </c>
    </row>
    <row r="32" spans="1:7" x14ac:dyDescent="0.3">
      <c r="A32" s="20" t="s">
        <v>639</v>
      </c>
      <c r="B32" s="21">
        <v>46295</v>
      </c>
      <c r="C32" s="20" t="s">
        <v>601</v>
      </c>
      <c r="D32" s="20" t="s">
        <v>609</v>
      </c>
      <c r="E32" s="20">
        <v>4105</v>
      </c>
      <c r="F32" s="20" t="s">
        <v>589</v>
      </c>
      <c r="G32" s="20" t="s">
        <v>640</v>
      </c>
    </row>
    <row r="33" spans="1:7" x14ac:dyDescent="0.3">
      <c r="A33" s="20" t="s">
        <v>641</v>
      </c>
      <c r="B33" s="21">
        <v>46267</v>
      </c>
      <c r="C33" s="20" t="s">
        <v>596</v>
      </c>
      <c r="D33" s="20" t="s">
        <v>593</v>
      </c>
      <c r="E33" s="20">
        <v>1360</v>
      </c>
      <c r="F33" s="20" t="s">
        <v>589</v>
      </c>
      <c r="G33" s="20" t="s">
        <v>594</v>
      </c>
    </row>
    <row r="34" spans="1:7" x14ac:dyDescent="0.3">
      <c r="A34" s="20" t="s">
        <v>642</v>
      </c>
      <c r="B34" s="21">
        <v>46285</v>
      </c>
      <c r="C34" s="20" t="s">
        <v>625</v>
      </c>
      <c r="D34" s="20" t="s">
        <v>604</v>
      </c>
      <c r="E34" s="20">
        <v>7056</v>
      </c>
      <c r="F34" s="20" t="s">
        <v>67</v>
      </c>
      <c r="G34" s="20" t="s">
        <v>602</v>
      </c>
    </row>
    <row r="35" spans="1:7" x14ac:dyDescent="0.3">
      <c r="A35" s="20" t="s">
        <v>643</v>
      </c>
      <c r="B35" s="21">
        <v>46271</v>
      </c>
      <c r="C35" s="20" t="s">
        <v>596</v>
      </c>
      <c r="D35" s="20" t="s">
        <v>609</v>
      </c>
      <c r="E35" s="20">
        <v>9482</v>
      </c>
      <c r="F35" s="20" t="s">
        <v>589</v>
      </c>
      <c r="G35" s="20" t="s">
        <v>602</v>
      </c>
    </row>
    <row r="36" spans="1:7" x14ac:dyDescent="0.3">
      <c r="A36" s="20" t="s">
        <v>644</v>
      </c>
      <c r="B36" s="21">
        <v>46276</v>
      </c>
      <c r="C36" s="20" t="s">
        <v>592</v>
      </c>
      <c r="D36" s="20" t="s">
        <v>604</v>
      </c>
      <c r="E36" s="20">
        <v>4419</v>
      </c>
      <c r="F36" s="20" t="s">
        <v>589</v>
      </c>
      <c r="G36" s="20" t="s">
        <v>594</v>
      </c>
    </row>
    <row r="37" spans="1:7" x14ac:dyDescent="0.3">
      <c r="A37" s="20" t="s">
        <v>645</v>
      </c>
      <c r="B37" s="21">
        <v>46281</v>
      </c>
      <c r="C37" s="20" t="s">
        <v>630</v>
      </c>
      <c r="D37" s="20" t="s">
        <v>609</v>
      </c>
      <c r="E37" s="20">
        <v>4184</v>
      </c>
      <c r="F37" s="20" t="s">
        <v>589</v>
      </c>
      <c r="G37" s="20" t="s">
        <v>614</v>
      </c>
    </row>
    <row r="38" spans="1:7" x14ac:dyDescent="0.3">
      <c r="A38" s="20" t="s">
        <v>646</v>
      </c>
      <c r="B38" s="21">
        <v>46272</v>
      </c>
      <c r="C38" s="20" t="s">
        <v>601</v>
      </c>
      <c r="D38" s="20" t="s">
        <v>593</v>
      </c>
      <c r="E38" s="20">
        <v>10977</v>
      </c>
      <c r="F38" s="20" t="s">
        <v>589</v>
      </c>
      <c r="G38" s="20" t="s">
        <v>610</v>
      </c>
    </row>
    <row r="39" spans="1:7" x14ac:dyDescent="0.3">
      <c r="A39" s="20" t="s">
        <v>647</v>
      </c>
      <c r="B39" s="21">
        <v>46288</v>
      </c>
      <c r="C39" s="20" t="s">
        <v>606</v>
      </c>
      <c r="D39" s="20" t="s">
        <v>604</v>
      </c>
      <c r="E39" s="20">
        <v>17313</v>
      </c>
      <c r="F39" s="20" t="s">
        <v>589</v>
      </c>
      <c r="G39" s="20" t="s">
        <v>602</v>
      </c>
    </row>
    <row r="40" spans="1:7" x14ac:dyDescent="0.3">
      <c r="A40" s="20" t="s">
        <v>648</v>
      </c>
      <c r="B40" s="21">
        <v>46279</v>
      </c>
      <c r="C40" s="20" t="s">
        <v>592</v>
      </c>
      <c r="D40" s="20" t="s">
        <v>609</v>
      </c>
      <c r="E40" s="20">
        <v>1571</v>
      </c>
      <c r="F40" s="20" t="s">
        <v>67</v>
      </c>
      <c r="G40" s="20" t="s">
        <v>607</v>
      </c>
    </row>
    <row r="41" spans="1:7" x14ac:dyDescent="0.3">
      <c r="A41" s="20" t="s">
        <v>649</v>
      </c>
      <c r="B41" s="21">
        <v>46282</v>
      </c>
      <c r="C41" s="20" t="s">
        <v>630</v>
      </c>
      <c r="D41" s="20" t="s">
        <v>593</v>
      </c>
      <c r="E41" s="20">
        <v>17060</v>
      </c>
      <c r="F41" s="20" t="s">
        <v>589</v>
      </c>
      <c r="G41" s="20" t="s">
        <v>617</v>
      </c>
    </row>
    <row r="42" spans="1:7" x14ac:dyDescent="0.3">
      <c r="A42" s="20" t="s">
        <v>650</v>
      </c>
      <c r="B42" s="21">
        <v>46270</v>
      </c>
      <c r="C42" s="20" t="s">
        <v>601</v>
      </c>
      <c r="D42" s="20" t="s">
        <v>588</v>
      </c>
      <c r="E42" s="20">
        <v>14043</v>
      </c>
      <c r="F42" s="20" t="s">
        <v>589</v>
      </c>
      <c r="G42" s="20" t="s">
        <v>597</v>
      </c>
    </row>
    <row r="43" spans="1:7" x14ac:dyDescent="0.3">
      <c r="A43" s="20" t="s">
        <v>651</v>
      </c>
      <c r="B43" s="21">
        <v>46271</v>
      </c>
      <c r="C43" s="20" t="s">
        <v>592</v>
      </c>
      <c r="D43" s="20" t="s">
        <v>609</v>
      </c>
      <c r="E43" s="20">
        <v>7318</v>
      </c>
      <c r="F43" s="20" t="s">
        <v>589</v>
      </c>
      <c r="G43" s="20" t="s">
        <v>614</v>
      </c>
    </row>
    <row r="44" spans="1:7" x14ac:dyDescent="0.3">
      <c r="A44" s="20" t="s">
        <v>652</v>
      </c>
      <c r="B44" s="21">
        <v>46274</v>
      </c>
      <c r="C44" s="20" t="s">
        <v>596</v>
      </c>
      <c r="D44" s="20" t="s">
        <v>604</v>
      </c>
      <c r="E44" s="20">
        <v>9632</v>
      </c>
      <c r="F44" s="20" t="s">
        <v>589</v>
      </c>
      <c r="G44" s="20" t="s">
        <v>621</v>
      </c>
    </row>
    <row r="45" spans="1:7" x14ac:dyDescent="0.3">
      <c r="A45" s="20" t="s">
        <v>653</v>
      </c>
      <c r="B45" s="21">
        <v>46266</v>
      </c>
      <c r="C45" s="20" t="s">
        <v>625</v>
      </c>
      <c r="D45" s="20" t="s">
        <v>604</v>
      </c>
      <c r="E45" s="20">
        <v>13237</v>
      </c>
      <c r="F45" s="20" t="s">
        <v>589</v>
      </c>
      <c r="G45" s="20" t="s">
        <v>594</v>
      </c>
    </row>
    <row r="46" spans="1:7" x14ac:dyDescent="0.3">
      <c r="A46" s="20" t="s">
        <v>654</v>
      </c>
      <c r="B46" s="21">
        <v>46269</v>
      </c>
      <c r="C46" s="20" t="s">
        <v>606</v>
      </c>
      <c r="D46" s="20" t="s">
        <v>588</v>
      </c>
      <c r="E46" s="20">
        <v>925</v>
      </c>
      <c r="F46" s="20" t="s">
        <v>589</v>
      </c>
      <c r="G46" s="20" t="s">
        <v>621</v>
      </c>
    </row>
    <row r="47" spans="1:7" x14ac:dyDescent="0.3">
      <c r="A47" s="20" t="s">
        <v>655</v>
      </c>
      <c r="B47" s="21">
        <v>46289</v>
      </c>
      <c r="C47" s="20" t="s">
        <v>630</v>
      </c>
      <c r="D47" s="20" t="s">
        <v>604</v>
      </c>
      <c r="E47" s="20">
        <v>16149</v>
      </c>
      <c r="F47" s="20" t="s">
        <v>589</v>
      </c>
      <c r="G47" s="20" t="s">
        <v>602</v>
      </c>
    </row>
    <row r="48" spans="1:7" x14ac:dyDescent="0.3">
      <c r="A48" s="20" t="s">
        <v>656</v>
      </c>
      <c r="B48" s="21">
        <v>46280</v>
      </c>
      <c r="C48" s="20" t="s">
        <v>596</v>
      </c>
      <c r="D48" s="20" t="s">
        <v>588</v>
      </c>
      <c r="E48" s="20">
        <v>14888</v>
      </c>
      <c r="F48" s="20" t="s">
        <v>589</v>
      </c>
      <c r="G48" s="20" t="s">
        <v>621</v>
      </c>
    </row>
    <row r="49" spans="1:7" x14ac:dyDescent="0.3">
      <c r="A49" s="20" t="s">
        <v>657</v>
      </c>
      <c r="B49" s="21">
        <v>46278</v>
      </c>
      <c r="C49" s="20" t="s">
        <v>630</v>
      </c>
      <c r="D49" s="20" t="s">
        <v>593</v>
      </c>
      <c r="E49" s="20">
        <v>14079</v>
      </c>
      <c r="F49" s="20" t="s">
        <v>589</v>
      </c>
      <c r="G49" s="20" t="s">
        <v>597</v>
      </c>
    </row>
    <row r="50" spans="1:7" x14ac:dyDescent="0.3">
      <c r="A50" s="20" t="s">
        <v>658</v>
      </c>
      <c r="B50" s="21">
        <v>46275</v>
      </c>
      <c r="C50" s="20" t="s">
        <v>606</v>
      </c>
      <c r="D50" s="20" t="s">
        <v>588</v>
      </c>
      <c r="E50" s="20">
        <v>10923</v>
      </c>
      <c r="F50" s="20" t="s">
        <v>67</v>
      </c>
      <c r="G50" s="20" t="s">
        <v>640</v>
      </c>
    </row>
    <row r="51" spans="1:7" x14ac:dyDescent="0.3">
      <c r="A51" s="20" t="s">
        <v>659</v>
      </c>
      <c r="B51" s="21">
        <v>46281</v>
      </c>
      <c r="C51" s="20" t="s">
        <v>606</v>
      </c>
      <c r="D51" s="20" t="s">
        <v>588</v>
      </c>
      <c r="E51" s="20">
        <v>3924</v>
      </c>
      <c r="F51" s="20" t="s">
        <v>67</v>
      </c>
      <c r="G51" s="20" t="s">
        <v>621</v>
      </c>
    </row>
    <row r="52" spans="1:7" x14ac:dyDescent="0.3">
      <c r="A52" s="20" t="s">
        <v>660</v>
      </c>
      <c r="B52" s="21">
        <v>46295</v>
      </c>
      <c r="C52" s="20" t="s">
        <v>587</v>
      </c>
      <c r="D52" s="20" t="s">
        <v>593</v>
      </c>
      <c r="E52" s="20">
        <v>6041</v>
      </c>
      <c r="F52" s="20" t="s">
        <v>67</v>
      </c>
      <c r="G52" s="20" t="s">
        <v>610</v>
      </c>
    </row>
    <row r="53" spans="1:7" x14ac:dyDescent="0.3">
      <c r="A53" s="20" t="s">
        <v>661</v>
      </c>
      <c r="B53" s="21">
        <v>46292</v>
      </c>
      <c r="C53" s="20" t="s">
        <v>601</v>
      </c>
      <c r="D53" s="20" t="s">
        <v>609</v>
      </c>
      <c r="E53" s="20">
        <v>10255</v>
      </c>
      <c r="F53" s="20" t="s">
        <v>67</v>
      </c>
      <c r="G53" s="20" t="s">
        <v>590</v>
      </c>
    </row>
    <row r="54" spans="1:7" x14ac:dyDescent="0.3">
      <c r="A54" s="20" t="s">
        <v>662</v>
      </c>
      <c r="B54" s="21">
        <v>46274</v>
      </c>
      <c r="C54" s="20" t="s">
        <v>630</v>
      </c>
      <c r="D54" s="20" t="s">
        <v>588</v>
      </c>
      <c r="E54" s="20">
        <v>4453</v>
      </c>
      <c r="F54" s="20" t="s">
        <v>67</v>
      </c>
      <c r="G54" s="20" t="s">
        <v>640</v>
      </c>
    </row>
    <row r="55" spans="1:7" x14ac:dyDescent="0.3">
      <c r="A55" s="20" t="s">
        <v>663</v>
      </c>
      <c r="B55" s="21">
        <v>46284</v>
      </c>
      <c r="C55" s="20" t="s">
        <v>596</v>
      </c>
      <c r="D55" s="20" t="s">
        <v>604</v>
      </c>
      <c r="E55" s="20">
        <v>15617</v>
      </c>
      <c r="F55" s="20" t="s">
        <v>67</v>
      </c>
      <c r="G55" s="20" t="s">
        <v>610</v>
      </c>
    </row>
    <row r="56" spans="1:7" x14ac:dyDescent="0.3">
      <c r="A56" s="20" t="s">
        <v>664</v>
      </c>
      <c r="B56" s="21">
        <v>46292</v>
      </c>
      <c r="C56" s="20" t="s">
        <v>587</v>
      </c>
      <c r="D56" s="20" t="s">
        <v>588</v>
      </c>
      <c r="E56" s="20">
        <v>14878</v>
      </c>
      <c r="F56" s="20" t="s">
        <v>589</v>
      </c>
      <c r="G56" s="20" t="s">
        <v>607</v>
      </c>
    </row>
    <row r="57" spans="1:7" x14ac:dyDescent="0.3">
      <c r="A57" s="20" t="s">
        <v>665</v>
      </c>
      <c r="B57" s="21">
        <v>46275</v>
      </c>
      <c r="C57" s="20" t="s">
        <v>601</v>
      </c>
      <c r="D57" s="20" t="s">
        <v>593</v>
      </c>
      <c r="E57" s="20">
        <v>16756</v>
      </c>
      <c r="F57" s="20" t="s">
        <v>589</v>
      </c>
      <c r="G57" s="20" t="s">
        <v>640</v>
      </c>
    </row>
    <row r="58" spans="1:7" x14ac:dyDescent="0.3">
      <c r="A58" s="20" t="s">
        <v>666</v>
      </c>
      <c r="B58" s="21">
        <v>46273</v>
      </c>
      <c r="C58" s="20" t="s">
        <v>596</v>
      </c>
      <c r="D58" s="20" t="s">
        <v>593</v>
      </c>
      <c r="E58" s="20">
        <v>18434</v>
      </c>
      <c r="F58" s="20" t="s">
        <v>589</v>
      </c>
      <c r="G58" s="20" t="s">
        <v>612</v>
      </c>
    </row>
    <row r="59" spans="1:7" x14ac:dyDescent="0.3">
      <c r="A59" s="20" t="s">
        <v>667</v>
      </c>
      <c r="B59" s="21">
        <v>46292</v>
      </c>
      <c r="C59" s="20" t="s">
        <v>596</v>
      </c>
      <c r="D59" s="20" t="s">
        <v>604</v>
      </c>
      <c r="E59" s="20">
        <v>6986</v>
      </c>
      <c r="F59" s="20" t="s">
        <v>589</v>
      </c>
      <c r="G59" s="20" t="s">
        <v>602</v>
      </c>
    </row>
    <row r="60" spans="1:7" x14ac:dyDescent="0.3">
      <c r="A60" s="20" t="s">
        <v>668</v>
      </c>
      <c r="B60" s="21">
        <v>46272</v>
      </c>
      <c r="C60" s="20" t="s">
        <v>587</v>
      </c>
      <c r="D60" s="20" t="s">
        <v>588</v>
      </c>
      <c r="E60" s="20">
        <v>9904</v>
      </c>
      <c r="F60" s="20" t="s">
        <v>67</v>
      </c>
      <c r="G60" s="20" t="s">
        <v>590</v>
      </c>
    </row>
    <row r="61" spans="1:7" x14ac:dyDescent="0.3">
      <c r="A61" s="20" t="s">
        <v>669</v>
      </c>
      <c r="B61" s="21">
        <v>46270</v>
      </c>
      <c r="C61" s="20" t="s">
        <v>630</v>
      </c>
      <c r="D61" s="20" t="s">
        <v>588</v>
      </c>
      <c r="E61" s="20">
        <v>3124</v>
      </c>
      <c r="F61" s="20" t="s">
        <v>589</v>
      </c>
      <c r="G61" s="20" t="s">
        <v>590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CC0A-E141-491C-8822-FE5E5936D813}">
  <dimension ref="A3:N145"/>
  <sheetViews>
    <sheetView tabSelected="1" zoomScaleNormal="144" workbookViewId="0">
      <selection activeCell="B8" sqref="A3:B10"/>
    </sheetView>
  </sheetViews>
  <sheetFormatPr defaultRowHeight="14.4" x14ac:dyDescent="0.3"/>
  <cols>
    <col min="1" max="1" width="20.77734375" bestFit="1" customWidth="1"/>
    <col min="2" max="2" width="20.109375" style="7" bestFit="1" customWidth="1"/>
    <col min="3" max="3" width="20.109375" bestFit="1" customWidth="1"/>
    <col min="4" max="4" width="17" bestFit="1" customWidth="1"/>
    <col min="5" max="5" width="22.21875" bestFit="1" customWidth="1"/>
  </cols>
  <sheetData>
    <row r="3" spans="1:2" x14ac:dyDescent="0.3">
      <c r="A3" s="5" t="s">
        <v>3</v>
      </c>
      <c r="B3" s="7" t="s">
        <v>555</v>
      </c>
    </row>
    <row r="4" spans="1:2" x14ac:dyDescent="0.3">
      <c r="A4" t="s">
        <v>61</v>
      </c>
      <c r="B4" s="7">
        <v>8080</v>
      </c>
    </row>
    <row r="5" spans="1:2" x14ac:dyDescent="0.3">
      <c r="A5" t="s">
        <v>41</v>
      </c>
      <c r="B5" s="7">
        <v>4602.6000000000004</v>
      </c>
    </row>
    <row r="6" spans="1:2" x14ac:dyDescent="0.3">
      <c r="A6" t="s">
        <v>89</v>
      </c>
      <c r="B6" s="7">
        <v>5616.8</v>
      </c>
    </row>
    <row r="7" spans="1:2" x14ac:dyDescent="0.3">
      <c r="A7" t="s">
        <v>107</v>
      </c>
      <c r="B7" s="7">
        <v>1388.1</v>
      </c>
    </row>
    <row r="8" spans="1:2" x14ac:dyDescent="0.3">
      <c r="A8" t="s">
        <v>48</v>
      </c>
      <c r="B8" s="7">
        <v>2026</v>
      </c>
    </row>
    <row r="9" spans="1:2" x14ac:dyDescent="0.3">
      <c r="A9" t="s">
        <v>66</v>
      </c>
      <c r="B9" s="7">
        <v>5050</v>
      </c>
    </row>
    <row r="10" spans="1:2" x14ac:dyDescent="0.3">
      <c r="A10" t="s">
        <v>551</v>
      </c>
      <c r="B10" s="7">
        <v>26763.5</v>
      </c>
    </row>
    <row r="11" spans="1:2" x14ac:dyDescent="0.3">
      <c r="B11"/>
    </row>
    <row r="12" spans="1:2" x14ac:dyDescent="0.3">
      <c r="B12"/>
    </row>
    <row r="13" spans="1:2" x14ac:dyDescent="0.3">
      <c r="B13"/>
    </row>
    <row r="14" spans="1:2" x14ac:dyDescent="0.3">
      <c r="B14"/>
    </row>
    <row r="21" spans="1:2" x14ac:dyDescent="0.3">
      <c r="A21" s="5" t="s">
        <v>7</v>
      </c>
      <c r="B21" s="7" t="s">
        <v>555</v>
      </c>
    </row>
    <row r="22" spans="1:2" x14ac:dyDescent="0.3">
      <c r="A22" t="s">
        <v>52</v>
      </c>
      <c r="B22" s="7">
        <v>2760</v>
      </c>
    </row>
    <row r="23" spans="1:2" x14ac:dyDescent="0.3">
      <c r="A23" t="s">
        <v>72</v>
      </c>
      <c r="B23" s="7">
        <v>7401.6</v>
      </c>
    </row>
    <row r="24" spans="1:2" x14ac:dyDescent="0.3">
      <c r="A24" t="s">
        <v>129</v>
      </c>
      <c r="B24" s="7">
        <v>1493.8</v>
      </c>
    </row>
    <row r="25" spans="1:2" x14ac:dyDescent="0.3">
      <c r="A25" t="s">
        <v>80</v>
      </c>
      <c r="B25" s="7">
        <v>5050</v>
      </c>
    </row>
    <row r="26" spans="1:2" x14ac:dyDescent="0.3">
      <c r="A26" t="s">
        <v>58</v>
      </c>
      <c r="B26" s="7">
        <v>2100</v>
      </c>
    </row>
    <row r="27" spans="1:2" x14ac:dyDescent="0.3">
      <c r="A27" t="s">
        <v>36</v>
      </c>
      <c r="B27" s="7">
        <v>6708.1</v>
      </c>
    </row>
    <row r="28" spans="1:2" x14ac:dyDescent="0.3">
      <c r="A28" t="s">
        <v>86</v>
      </c>
      <c r="B28" s="7">
        <v>1250</v>
      </c>
    </row>
    <row r="29" spans="1:2" x14ac:dyDescent="0.3">
      <c r="A29" t="s">
        <v>551</v>
      </c>
      <c r="B29" s="7">
        <v>26763.5</v>
      </c>
    </row>
    <row r="30" spans="1:2" x14ac:dyDescent="0.3">
      <c r="B30"/>
    </row>
    <row r="31" spans="1:2" x14ac:dyDescent="0.3">
      <c r="B31"/>
    </row>
    <row r="32" spans="1:2" x14ac:dyDescent="0.3">
      <c r="B32"/>
    </row>
    <row r="33" spans="1:2" x14ac:dyDescent="0.3">
      <c r="B33"/>
    </row>
    <row r="34" spans="1:2" x14ac:dyDescent="0.3">
      <c r="B34"/>
    </row>
    <row r="35" spans="1:2" x14ac:dyDescent="0.3">
      <c r="B35"/>
    </row>
    <row r="36" spans="1:2" x14ac:dyDescent="0.3">
      <c r="B36"/>
    </row>
    <row r="37" spans="1:2" x14ac:dyDescent="0.3">
      <c r="B37"/>
    </row>
    <row r="38" spans="1:2" x14ac:dyDescent="0.3">
      <c r="B38"/>
    </row>
    <row r="39" spans="1:2" x14ac:dyDescent="0.3">
      <c r="B39"/>
    </row>
    <row r="40" spans="1:2" x14ac:dyDescent="0.3">
      <c r="B40"/>
    </row>
    <row r="41" spans="1:2" x14ac:dyDescent="0.3">
      <c r="B41"/>
    </row>
    <row r="42" spans="1:2" x14ac:dyDescent="0.3">
      <c r="A42" s="5" t="s">
        <v>4</v>
      </c>
      <c r="B42" s="7" t="s">
        <v>555</v>
      </c>
    </row>
    <row r="43" spans="1:2" x14ac:dyDescent="0.3">
      <c r="A43" t="s">
        <v>62</v>
      </c>
      <c r="B43" s="7">
        <v>13696.8</v>
      </c>
    </row>
    <row r="44" spans="1:2" x14ac:dyDescent="0.3">
      <c r="A44" t="s">
        <v>49</v>
      </c>
      <c r="B44" s="7">
        <v>7076</v>
      </c>
    </row>
    <row r="45" spans="1:2" x14ac:dyDescent="0.3">
      <c r="A45" t="s">
        <v>108</v>
      </c>
      <c r="B45" s="7">
        <v>1388.1</v>
      </c>
    </row>
    <row r="46" spans="1:2" x14ac:dyDescent="0.3">
      <c r="A46" t="s">
        <v>33</v>
      </c>
      <c r="B46" s="7">
        <v>4602.6000000000004</v>
      </c>
    </row>
    <row r="47" spans="1:2" x14ac:dyDescent="0.3">
      <c r="A47" t="s">
        <v>551</v>
      </c>
      <c r="B47" s="7">
        <v>26763.5</v>
      </c>
    </row>
    <row r="48" spans="1:2" x14ac:dyDescent="0.3">
      <c r="B48"/>
    </row>
    <row r="49" spans="1:14" x14ac:dyDescent="0.3">
      <c r="B49"/>
    </row>
    <row r="50" spans="1:14" x14ac:dyDescent="0.3">
      <c r="B50"/>
    </row>
    <row r="51" spans="1:14" x14ac:dyDescent="0.3">
      <c r="B51"/>
    </row>
    <row r="52" spans="1:14" x14ac:dyDescent="0.3">
      <c r="B52"/>
      <c r="N52" t="s">
        <v>674</v>
      </c>
    </row>
    <row r="53" spans="1:14" x14ac:dyDescent="0.3">
      <c r="B53"/>
    </row>
    <row r="54" spans="1:14" x14ac:dyDescent="0.3">
      <c r="B54"/>
    </row>
    <row r="55" spans="1:14" x14ac:dyDescent="0.3">
      <c r="B55"/>
    </row>
    <row r="56" spans="1:14" x14ac:dyDescent="0.3">
      <c r="B56"/>
    </row>
    <row r="57" spans="1:14" x14ac:dyDescent="0.3">
      <c r="A57" s="5" t="s">
        <v>6</v>
      </c>
      <c r="B57" s="7" t="s">
        <v>555</v>
      </c>
    </row>
    <row r="58" spans="1:14" x14ac:dyDescent="0.3">
      <c r="A58" t="s">
        <v>85</v>
      </c>
      <c r="B58" s="7">
        <v>1250</v>
      </c>
    </row>
    <row r="59" spans="1:14" x14ac:dyDescent="0.3">
      <c r="A59" t="s">
        <v>128</v>
      </c>
      <c r="B59" s="7">
        <v>1493.8</v>
      </c>
    </row>
    <row r="60" spans="1:14" x14ac:dyDescent="0.3">
      <c r="A60" t="s">
        <v>51</v>
      </c>
      <c r="B60" s="7">
        <v>2760</v>
      </c>
    </row>
    <row r="61" spans="1:14" x14ac:dyDescent="0.3">
      <c r="A61" t="s">
        <v>35</v>
      </c>
      <c r="B61" s="7">
        <v>6708.1</v>
      </c>
    </row>
    <row r="62" spans="1:14" x14ac:dyDescent="0.3">
      <c r="A62" t="s">
        <v>57</v>
      </c>
      <c r="B62" s="7">
        <v>2100</v>
      </c>
    </row>
    <row r="63" spans="1:14" x14ac:dyDescent="0.3">
      <c r="A63" t="s">
        <v>71</v>
      </c>
      <c r="B63" s="7">
        <v>7401.6</v>
      </c>
    </row>
    <row r="64" spans="1:14" x14ac:dyDescent="0.3">
      <c r="A64" t="s">
        <v>79</v>
      </c>
      <c r="B64" s="7">
        <v>5050</v>
      </c>
    </row>
    <row r="65" spans="1:2" x14ac:dyDescent="0.3">
      <c r="A65" t="s">
        <v>551</v>
      </c>
      <c r="B65" s="7">
        <v>26763.5</v>
      </c>
    </row>
    <row r="66" spans="1:2" x14ac:dyDescent="0.3">
      <c r="B66"/>
    </row>
    <row r="67" spans="1:2" x14ac:dyDescent="0.3">
      <c r="B67"/>
    </row>
    <row r="68" spans="1:2" x14ac:dyDescent="0.3">
      <c r="B68"/>
    </row>
    <row r="69" spans="1:2" x14ac:dyDescent="0.3">
      <c r="B69"/>
    </row>
    <row r="70" spans="1:2" x14ac:dyDescent="0.3">
      <c r="B70"/>
    </row>
    <row r="71" spans="1:2" x14ac:dyDescent="0.3">
      <c r="B71"/>
    </row>
    <row r="72" spans="1:2" x14ac:dyDescent="0.3">
      <c r="B72"/>
    </row>
    <row r="73" spans="1:2" x14ac:dyDescent="0.3">
      <c r="B73"/>
    </row>
    <row r="74" spans="1:2" x14ac:dyDescent="0.3">
      <c r="B74"/>
    </row>
    <row r="75" spans="1:2" x14ac:dyDescent="0.3">
      <c r="B75"/>
    </row>
    <row r="76" spans="1:2" x14ac:dyDescent="0.3">
      <c r="B76"/>
    </row>
    <row r="77" spans="1:2" x14ac:dyDescent="0.3">
      <c r="B77"/>
    </row>
    <row r="78" spans="1:2" x14ac:dyDescent="0.3">
      <c r="B78"/>
    </row>
    <row r="79" spans="1:2" x14ac:dyDescent="0.3">
      <c r="B79"/>
    </row>
    <row r="80" spans="1:2" x14ac:dyDescent="0.3">
      <c r="B80"/>
    </row>
    <row r="81" spans="1:2" x14ac:dyDescent="0.3">
      <c r="A81" s="5" t="s">
        <v>16</v>
      </c>
      <c r="B81" s="7" t="s">
        <v>555</v>
      </c>
    </row>
    <row r="82" spans="1:2" x14ac:dyDescent="0.3">
      <c r="A82" t="s">
        <v>73</v>
      </c>
      <c r="B82" s="7">
        <v>3477.45</v>
      </c>
    </row>
    <row r="83" spans="1:2" x14ac:dyDescent="0.3">
      <c r="A83" t="s">
        <v>45</v>
      </c>
      <c r="B83" s="7">
        <v>7489.25</v>
      </c>
    </row>
    <row r="84" spans="1:2" x14ac:dyDescent="0.3">
      <c r="A84" t="s">
        <v>27</v>
      </c>
      <c r="B84" s="7">
        <v>5616.8</v>
      </c>
    </row>
    <row r="85" spans="1:2" x14ac:dyDescent="0.3">
      <c r="A85" t="s">
        <v>54</v>
      </c>
      <c r="B85" s="7">
        <v>10180</v>
      </c>
    </row>
    <row r="86" spans="1:2" x14ac:dyDescent="0.3">
      <c r="A86" t="s">
        <v>551</v>
      </c>
      <c r="B86" s="7">
        <v>26763.5</v>
      </c>
    </row>
    <row r="87" spans="1:2" x14ac:dyDescent="0.3">
      <c r="B87"/>
    </row>
    <row r="88" spans="1:2" x14ac:dyDescent="0.3">
      <c r="B88"/>
    </row>
    <row r="89" spans="1:2" x14ac:dyDescent="0.3">
      <c r="B89"/>
    </row>
    <row r="90" spans="1:2" x14ac:dyDescent="0.3">
      <c r="B90"/>
    </row>
    <row r="91" spans="1:2" x14ac:dyDescent="0.3">
      <c r="B91"/>
    </row>
    <row r="92" spans="1:2" x14ac:dyDescent="0.3">
      <c r="B92"/>
    </row>
    <row r="93" spans="1:2" x14ac:dyDescent="0.3">
      <c r="B93"/>
    </row>
    <row r="94" spans="1:2" x14ac:dyDescent="0.3">
      <c r="B94"/>
    </row>
    <row r="95" spans="1:2" x14ac:dyDescent="0.3">
      <c r="A95" s="5" t="s">
        <v>18</v>
      </c>
      <c r="B95" s="7" t="s">
        <v>555</v>
      </c>
    </row>
    <row r="96" spans="1:2" x14ac:dyDescent="0.3">
      <c r="A96" t="s">
        <v>68</v>
      </c>
      <c r="B96" s="7">
        <v>12650.45</v>
      </c>
    </row>
    <row r="97" spans="1:5" x14ac:dyDescent="0.3">
      <c r="A97" t="s">
        <v>63</v>
      </c>
      <c r="B97" s="7">
        <v>14113.05</v>
      </c>
    </row>
    <row r="98" spans="1:5" x14ac:dyDescent="0.3">
      <c r="A98" t="s">
        <v>551</v>
      </c>
      <c r="B98" s="7">
        <v>26763.5</v>
      </c>
    </row>
    <row r="99" spans="1:5" x14ac:dyDescent="0.3">
      <c r="B99"/>
    </row>
    <row r="100" spans="1:5" x14ac:dyDescent="0.3">
      <c r="B100"/>
    </row>
    <row r="101" spans="1:5" x14ac:dyDescent="0.3">
      <c r="B101"/>
    </row>
    <row r="102" spans="1:5" x14ac:dyDescent="0.3">
      <c r="B102"/>
    </row>
    <row r="103" spans="1:5" x14ac:dyDescent="0.3">
      <c r="B103"/>
    </row>
    <row r="104" spans="1:5" x14ac:dyDescent="0.3">
      <c r="B104"/>
    </row>
    <row r="105" spans="1:5" x14ac:dyDescent="0.3">
      <c r="B105"/>
    </row>
    <row r="106" spans="1:5" x14ac:dyDescent="0.3">
      <c r="B106"/>
    </row>
    <row r="107" spans="1:5" x14ac:dyDescent="0.3">
      <c r="B107"/>
    </row>
    <row r="108" spans="1:5" x14ac:dyDescent="0.3">
      <c r="B108"/>
    </row>
    <row r="109" spans="1:5" x14ac:dyDescent="0.3">
      <c r="B109"/>
    </row>
    <row r="110" spans="1:5" x14ac:dyDescent="0.3">
      <c r="A110" t="s">
        <v>553</v>
      </c>
      <c r="B110" t="s">
        <v>554</v>
      </c>
      <c r="C110" t="s">
        <v>555</v>
      </c>
      <c r="D110" t="s">
        <v>675</v>
      </c>
      <c r="E110" t="s">
        <v>552</v>
      </c>
    </row>
    <row r="111" spans="1:5" x14ac:dyDescent="0.3">
      <c r="A111" s="7">
        <v>1110</v>
      </c>
      <c r="B111" s="7">
        <v>0.22</v>
      </c>
      <c r="C111" s="7">
        <v>26763.499999999996</v>
      </c>
      <c r="D111" s="7">
        <v>15403.4</v>
      </c>
      <c r="E111" s="7">
        <v>11360.1</v>
      </c>
    </row>
    <row r="112" spans="1:5"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43F3-6616-46C4-9F94-22194F707241}">
  <dimension ref="A1:AA51"/>
  <sheetViews>
    <sheetView zoomScale="78" zoomScaleNormal="122" workbookViewId="0">
      <selection activeCell="AD13" sqref="AD13"/>
    </sheetView>
  </sheetViews>
  <sheetFormatPr defaultRowHeight="14.4" x14ac:dyDescent="0.3"/>
  <cols>
    <col min="1" max="1" width="2.109375" customWidth="1"/>
    <col min="12" max="12" width="1.109375" customWidth="1"/>
    <col min="15" max="15" width="0.44140625" customWidth="1"/>
    <col min="18" max="18" width="0.44140625" customWidth="1"/>
    <col min="21" max="21" width="0.44140625" customWidth="1"/>
    <col min="24" max="24" width="0.5546875" customWidth="1"/>
    <col min="27" max="27" width="0.88671875" customWidth="1"/>
  </cols>
  <sheetData>
    <row r="1" spans="1:27" ht="7.2" customHeight="1" thickBot="1" x14ac:dyDescent="0.35">
      <c r="A1" s="22"/>
      <c r="B1" s="22"/>
      <c r="C1" s="22"/>
      <c r="D1" s="22"/>
      <c r="E1" s="22"/>
      <c r="F1" s="22"/>
      <c r="G1" s="22"/>
      <c r="H1" s="22"/>
      <c r="I1" s="22"/>
      <c r="J1" s="22"/>
      <c r="K1" s="22"/>
      <c r="L1" s="22"/>
      <c r="M1" s="22"/>
      <c r="N1" s="22"/>
      <c r="O1" s="22"/>
      <c r="P1" s="22"/>
      <c r="Q1" s="22"/>
      <c r="R1" s="22"/>
      <c r="S1" s="22"/>
      <c r="T1" s="22"/>
      <c r="U1" s="22"/>
      <c r="V1" s="22"/>
      <c r="W1" s="22"/>
      <c r="X1" s="22"/>
      <c r="Y1" s="22"/>
      <c r="Z1" s="22"/>
      <c r="AA1" s="22"/>
    </row>
    <row r="2" spans="1:27" ht="18.600000000000001" thickBot="1" x14ac:dyDescent="0.4">
      <c r="A2" s="22"/>
      <c r="B2" s="27" t="s">
        <v>676</v>
      </c>
      <c r="C2" s="27"/>
      <c r="D2" s="27"/>
      <c r="E2" s="27"/>
      <c r="F2" s="27"/>
      <c r="G2" s="27"/>
      <c r="H2" s="27"/>
      <c r="I2" s="27"/>
      <c r="J2" s="27"/>
      <c r="K2" s="27"/>
      <c r="L2" s="23"/>
      <c r="M2" s="28" t="s">
        <v>677</v>
      </c>
      <c r="N2" s="29"/>
      <c r="O2" s="24"/>
      <c r="P2" s="28" t="s">
        <v>681</v>
      </c>
      <c r="Q2" s="29"/>
      <c r="R2" s="24"/>
      <c r="S2" s="28" t="s">
        <v>678</v>
      </c>
      <c r="T2" s="29"/>
      <c r="U2" s="24"/>
      <c r="V2" s="30" t="s">
        <v>679</v>
      </c>
      <c r="W2" s="31"/>
      <c r="X2" s="24"/>
      <c r="Y2" s="28" t="s">
        <v>680</v>
      </c>
      <c r="Z2" s="29"/>
      <c r="AA2" s="22"/>
    </row>
    <row r="3" spans="1:27" ht="18.600000000000001" thickBot="1" x14ac:dyDescent="0.4">
      <c r="A3" s="22"/>
      <c r="B3" s="27"/>
      <c r="C3" s="27"/>
      <c r="D3" s="27"/>
      <c r="E3" s="27"/>
      <c r="F3" s="27"/>
      <c r="G3" s="27"/>
      <c r="H3" s="27"/>
      <c r="I3" s="27"/>
      <c r="J3" s="27"/>
      <c r="K3" s="27"/>
      <c r="L3" s="23"/>
      <c r="M3" s="32">
        <f>GETPIVOTDATA("Sum of Quantity",Pivot!$A$110)</f>
        <v>1110</v>
      </c>
      <c r="N3" s="33"/>
      <c r="O3" s="24"/>
      <c r="P3" s="25">
        <f>GETPIVOTDATA("Sum of Discount %",Pivot!$A$110)</f>
        <v>0.22</v>
      </c>
      <c r="Q3" s="26"/>
      <c r="R3" s="24"/>
      <c r="S3" s="34">
        <f>GETPIVOTDATA("Sum of Net Sales (INR)",Pivot!$A$110)</f>
        <v>26763.499999999996</v>
      </c>
      <c r="T3" s="35"/>
      <c r="U3" s="24"/>
      <c r="V3" s="25">
        <f>GETPIVOTDATA("Sum of COGS (INR)",Pivot!$A$110)</f>
        <v>15403.4</v>
      </c>
      <c r="W3" s="26"/>
      <c r="X3" s="24"/>
      <c r="Y3" s="25">
        <f>GETPIVOTDATA("Sum of Gross Profit (INR)",Pivot!$A$110)</f>
        <v>11360.1</v>
      </c>
      <c r="Z3" s="26"/>
      <c r="AA3" s="22"/>
    </row>
    <row r="4" spans="1:27"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row>
    <row r="5" spans="1:27" x14ac:dyDescent="0.3">
      <c r="A5" s="22"/>
      <c r="B5" s="22"/>
      <c r="C5" s="22"/>
      <c r="D5" s="22"/>
      <c r="E5" s="22"/>
      <c r="F5" s="22"/>
      <c r="G5" s="22"/>
      <c r="H5" s="22"/>
      <c r="I5" s="22"/>
      <c r="J5" s="22"/>
      <c r="K5" s="22"/>
      <c r="L5" s="22"/>
      <c r="M5" s="22"/>
      <c r="N5" s="22"/>
      <c r="O5" s="22"/>
      <c r="P5" s="22"/>
      <c r="Q5" s="22"/>
      <c r="R5" s="22"/>
      <c r="S5" s="22"/>
      <c r="T5" s="22"/>
      <c r="U5" s="22"/>
      <c r="V5" s="22"/>
      <c r="W5" s="22"/>
      <c r="X5" s="22"/>
      <c r="Y5" s="22"/>
      <c r="Z5" s="22"/>
      <c r="AA5" s="22"/>
    </row>
    <row r="6" spans="1:27" x14ac:dyDescent="0.3">
      <c r="A6" s="22"/>
      <c r="B6" s="22"/>
      <c r="C6" s="22"/>
      <c r="D6" s="22"/>
      <c r="E6" s="22"/>
      <c r="F6" s="22"/>
      <c r="G6" s="22"/>
      <c r="H6" s="22"/>
      <c r="I6" s="22"/>
      <c r="J6" s="22"/>
      <c r="K6" s="22"/>
      <c r="L6" s="22"/>
      <c r="M6" s="22"/>
      <c r="N6" s="22"/>
      <c r="O6" s="22"/>
      <c r="P6" s="22"/>
      <c r="Q6" s="22"/>
      <c r="R6" s="22"/>
      <c r="S6" s="22"/>
      <c r="T6" s="22"/>
      <c r="U6" s="22"/>
      <c r="V6" s="22"/>
      <c r="W6" s="22"/>
      <c r="X6" s="22"/>
      <c r="Y6" s="22"/>
      <c r="Z6" s="22"/>
      <c r="AA6" s="22"/>
    </row>
    <row r="7" spans="1:27" x14ac:dyDescent="0.3">
      <c r="A7" s="22"/>
      <c r="B7" s="22"/>
      <c r="C7" s="22"/>
      <c r="D7" s="22"/>
      <c r="E7" s="22"/>
      <c r="F7" s="22"/>
      <c r="G7" s="22"/>
      <c r="H7" s="22"/>
      <c r="I7" s="22"/>
      <c r="J7" s="22"/>
      <c r="K7" s="22"/>
      <c r="L7" s="22"/>
      <c r="M7" s="22"/>
      <c r="N7" s="22"/>
      <c r="O7" s="22"/>
      <c r="P7" s="22"/>
      <c r="Q7" s="22"/>
      <c r="R7" s="22"/>
      <c r="S7" s="22"/>
      <c r="T7" s="22"/>
      <c r="U7" s="22"/>
      <c r="V7" s="22"/>
      <c r="W7" s="22"/>
      <c r="X7" s="22"/>
      <c r="Y7" s="22"/>
      <c r="Z7" s="22"/>
      <c r="AA7" s="22"/>
    </row>
    <row r="8" spans="1:27" x14ac:dyDescent="0.3">
      <c r="A8" s="22"/>
      <c r="B8" s="22"/>
      <c r="C8" s="22"/>
      <c r="D8" s="22"/>
      <c r="E8" s="22"/>
      <c r="F8" s="22"/>
      <c r="G8" s="22"/>
      <c r="H8" s="22"/>
      <c r="I8" s="22"/>
      <c r="J8" s="22"/>
      <c r="K8" s="22"/>
      <c r="L8" s="22"/>
      <c r="M8" s="22"/>
      <c r="N8" s="22"/>
      <c r="O8" s="22"/>
      <c r="P8" s="22"/>
      <c r="Q8" s="22"/>
      <c r="R8" s="22"/>
      <c r="S8" s="22"/>
      <c r="T8" s="22"/>
      <c r="U8" s="22"/>
      <c r="V8" s="22"/>
      <c r="W8" s="22"/>
      <c r="X8" s="22"/>
      <c r="Y8" s="22"/>
      <c r="Z8" s="22"/>
      <c r="AA8" s="22"/>
    </row>
    <row r="9" spans="1:27" x14ac:dyDescent="0.3">
      <c r="A9" s="22"/>
      <c r="B9" s="22"/>
      <c r="C9" s="22"/>
      <c r="D9" s="22"/>
      <c r="E9" s="22"/>
      <c r="F9" s="22"/>
      <c r="G9" s="22"/>
      <c r="H9" s="22"/>
      <c r="I9" s="22"/>
      <c r="J9" s="22"/>
      <c r="K9" s="22"/>
      <c r="L9" s="22"/>
      <c r="M9" s="22"/>
      <c r="N9" s="22"/>
      <c r="O9" s="22"/>
      <c r="P9" s="22"/>
      <c r="Q9" s="22"/>
      <c r="R9" s="22"/>
      <c r="S9" s="22"/>
      <c r="T9" s="22"/>
      <c r="U9" s="22"/>
      <c r="V9" s="22"/>
      <c r="W9" s="22"/>
      <c r="X9" s="22"/>
      <c r="Y9" s="22"/>
      <c r="Z9" s="22"/>
      <c r="AA9" s="22"/>
    </row>
    <row r="10" spans="1:27"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row>
    <row r="11" spans="1:27"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row>
    <row r="12" spans="1:27"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spans="1:27"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row>
    <row r="14" spans="1:27" x14ac:dyDescent="0.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spans="1:27" x14ac:dyDescent="0.3">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spans="1:27"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spans="1:27"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spans="1:27" x14ac:dyDescent="0.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spans="1:27"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spans="1:27"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spans="1:27"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spans="1:27"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spans="1:27"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spans="1:27"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spans="1:27"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spans="1:27"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spans="1:27"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spans="1:27"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spans="1:27"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spans="1:27"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spans="1:27"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spans="1:27"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spans="1:27"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spans="1:27"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spans="1:27"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spans="1:27"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spans="1:27"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1:27"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spans="1:27"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spans="1:27"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spans="1:27"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spans="1:27"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spans="1:27"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spans="1:27"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spans="1:27"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spans="1:27"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spans="1:27"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spans="1:27"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spans="1:27"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spans="1:27" ht="3" customHeight="1" x14ac:dyDescent="0.3">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sheetData>
  <mergeCells count="11">
    <mergeCell ref="Y3:Z3"/>
    <mergeCell ref="B2:K3"/>
    <mergeCell ref="M2:N2"/>
    <mergeCell ref="P2:Q2"/>
    <mergeCell ref="S2:T2"/>
    <mergeCell ref="V2:W2"/>
    <mergeCell ref="Y2:Z2"/>
    <mergeCell ref="M3:N3"/>
    <mergeCell ref="P3:Q3"/>
    <mergeCell ref="S3:T3"/>
    <mergeCell ref="V3: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CAAA-4F9C-4121-B13E-026FF11E18A1}">
  <dimension ref="A1:E35"/>
  <sheetViews>
    <sheetView workbookViewId="0">
      <selection activeCell="F4" sqref="F4"/>
    </sheetView>
  </sheetViews>
  <sheetFormatPr defaultRowHeight="14.4" x14ac:dyDescent="0.3"/>
  <cols>
    <col min="1" max="1" width="19.21875" bestFit="1" customWidth="1"/>
    <col min="2" max="2" width="15.6640625" bestFit="1" customWidth="1"/>
    <col min="3" max="3" width="9" bestFit="1" customWidth="1"/>
    <col min="4" max="4" width="9.5546875" bestFit="1" customWidth="1"/>
    <col min="5" max="5" width="13.44140625" bestFit="1" customWidth="1"/>
    <col min="6" max="6" width="25.21875" bestFit="1" customWidth="1"/>
    <col min="7" max="7" width="24.109375" bestFit="1" customWidth="1"/>
  </cols>
  <sheetData>
    <row r="1" spans="1:5" ht="18" x14ac:dyDescent="0.35">
      <c r="A1" s="36" t="s">
        <v>575</v>
      </c>
      <c r="B1" s="36"/>
      <c r="C1" s="36"/>
      <c r="D1" s="36"/>
      <c r="E1" s="36"/>
    </row>
    <row r="3" spans="1:5" ht="18" x14ac:dyDescent="0.35">
      <c r="A3" s="8" t="s">
        <v>582</v>
      </c>
      <c r="B3" s="8" t="s">
        <v>581</v>
      </c>
      <c r="C3" s="8" t="s">
        <v>589</v>
      </c>
      <c r="D3" s="8" t="s">
        <v>67</v>
      </c>
      <c r="E3" s="8" t="s">
        <v>551</v>
      </c>
    </row>
    <row r="4" spans="1:5" x14ac:dyDescent="0.3">
      <c r="A4" s="14" t="s">
        <v>604</v>
      </c>
      <c r="B4" s="14" t="s">
        <v>630</v>
      </c>
      <c r="C4" s="14">
        <v>16149</v>
      </c>
      <c r="D4" s="14"/>
      <c r="E4" s="14">
        <v>16149</v>
      </c>
    </row>
    <row r="5" spans="1:5" x14ac:dyDescent="0.3">
      <c r="A5" s="14"/>
      <c r="B5" s="14" t="s">
        <v>606</v>
      </c>
      <c r="C5" s="14">
        <v>20484</v>
      </c>
      <c r="D5" s="14"/>
      <c r="E5" s="14">
        <v>20484</v>
      </c>
    </row>
    <row r="6" spans="1:5" x14ac:dyDescent="0.3">
      <c r="A6" s="14"/>
      <c r="B6" s="14" t="s">
        <v>587</v>
      </c>
      <c r="C6" s="14"/>
      <c r="D6" s="14">
        <v>8319</v>
      </c>
      <c r="E6" s="14">
        <v>8319</v>
      </c>
    </row>
    <row r="7" spans="1:5" x14ac:dyDescent="0.3">
      <c r="A7" s="14"/>
      <c r="B7" s="14" t="s">
        <v>601</v>
      </c>
      <c r="C7" s="14">
        <v>15414</v>
      </c>
      <c r="D7" s="14">
        <v>6073</v>
      </c>
      <c r="E7" s="14">
        <v>21487</v>
      </c>
    </row>
    <row r="8" spans="1:5" x14ac:dyDescent="0.3">
      <c r="A8" s="14"/>
      <c r="B8" s="14" t="s">
        <v>596</v>
      </c>
      <c r="C8" s="14">
        <v>16618</v>
      </c>
      <c r="D8" s="14">
        <v>15617</v>
      </c>
      <c r="E8" s="14">
        <v>32235</v>
      </c>
    </row>
    <row r="9" spans="1:5" x14ac:dyDescent="0.3">
      <c r="A9" s="14"/>
      <c r="B9" s="14" t="s">
        <v>625</v>
      </c>
      <c r="C9" s="14">
        <v>13237</v>
      </c>
      <c r="D9" s="14">
        <v>7056</v>
      </c>
      <c r="E9" s="14">
        <v>20293</v>
      </c>
    </row>
    <row r="10" spans="1:5" x14ac:dyDescent="0.3">
      <c r="A10" s="14"/>
      <c r="B10" s="14" t="s">
        <v>592</v>
      </c>
      <c r="C10" s="14">
        <v>4419</v>
      </c>
      <c r="D10" s="14">
        <v>9131</v>
      </c>
      <c r="E10" s="14">
        <v>13550</v>
      </c>
    </row>
    <row r="11" spans="1:5" ht="18" x14ac:dyDescent="0.35">
      <c r="A11" s="8" t="s">
        <v>670</v>
      </c>
      <c r="B11" s="8"/>
      <c r="C11" s="8">
        <v>86321</v>
      </c>
      <c r="D11" s="8">
        <v>46196</v>
      </c>
      <c r="E11" s="8">
        <v>132517</v>
      </c>
    </row>
    <row r="12" spans="1:5" x14ac:dyDescent="0.3">
      <c r="A12" s="14" t="s">
        <v>593</v>
      </c>
      <c r="B12" s="14" t="s">
        <v>630</v>
      </c>
      <c r="C12" s="14">
        <v>46840</v>
      </c>
      <c r="D12" s="14"/>
      <c r="E12" s="14">
        <v>46840</v>
      </c>
    </row>
    <row r="13" spans="1:5" x14ac:dyDescent="0.3">
      <c r="A13" s="14"/>
      <c r="B13" s="14" t="s">
        <v>606</v>
      </c>
      <c r="C13" s="14">
        <v>13711</v>
      </c>
      <c r="D13" s="14"/>
      <c r="E13" s="14">
        <v>13711</v>
      </c>
    </row>
    <row r="14" spans="1:5" x14ac:dyDescent="0.3">
      <c r="A14" s="14"/>
      <c r="B14" s="14" t="s">
        <v>587</v>
      </c>
      <c r="C14" s="14"/>
      <c r="D14" s="14">
        <v>24304</v>
      </c>
      <c r="E14" s="14">
        <v>24304</v>
      </c>
    </row>
    <row r="15" spans="1:5" x14ac:dyDescent="0.3">
      <c r="A15" s="14"/>
      <c r="B15" s="14" t="s">
        <v>601</v>
      </c>
      <c r="C15" s="14">
        <v>27733</v>
      </c>
      <c r="D15" s="14">
        <v>15262</v>
      </c>
      <c r="E15" s="14">
        <v>42995</v>
      </c>
    </row>
    <row r="16" spans="1:5" x14ac:dyDescent="0.3">
      <c r="A16" s="14"/>
      <c r="B16" s="14" t="s">
        <v>596</v>
      </c>
      <c r="C16" s="14">
        <v>21609</v>
      </c>
      <c r="D16" s="14">
        <v>11102</v>
      </c>
      <c r="E16" s="14">
        <v>32711</v>
      </c>
    </row>
    <row r="17" spans="1:5" x14ac:dyDescent="0.3">
      <c r="A17" s="14"/>
      <c r="B17" s="14" t="s">
        <v>625</v>
      </c>
      <c r="C17" s="14">
        <v>7567</v>
      </c>
      <c r="D17" s="14"/>
      <c r="E17" s="14">
        <v>7567</v>
      </c>
    </row>
    <row r="18" spans="1:5" x14ac:dyDescent="0.3">
      <c r="A18" s="14"/>
      <c r="B18" s="14" t="s">
        <v>592</v>
      </c>
      <c r="C18" s="14"/>
      <c r="D18" s="14">
        <v>31031</v>
      </c>
      <c r="E18" s="14">
        <v>31031</v>
      </c>
    </row>
    <row r="19" spans="1:5" ht="18" x14ac:dyDescent="0.35">
      <c r="A19" s="8" t="s">
        <v>671</v>
      </c>
      <c r="B19" s="8"/>
      <c r="C19" s="8">
        <v>117460</v>
      </c>
      <c r="D19" s="8">
        <v>81699</v>
      </c>
      <c r="E19" s="8">
        <v>199159</v>
      </c>
    </row>
    <row r="20" spans="1:5" x14ac:dyDescent="0.3">
      <c r="A20" s="14" t="s">
        <v>609</v>
      </c>
      <c r="B20" s="14" t="s">
        <v>630</v>
      </c>
      <c r="C20" s="14">
        <v>4184</v>
      </c>
      <c r="D20" s="14"/>
      <c r="E20" s="14">
        <v>4184</v>
      </c>
    </row>
    <row r="21" spans="1:5" x14ac:dyDescent="0.3">
      <c r="A21" s="14"/>
      <c r="B21" s="14" t="s">
        <v>606</v>
      </c>
      <c r="C21" s="14">
        <v>22375</v>
      </c>
      <c r="D21" s="14"/>
      <c r="E21" s="14">
        <v>22375</v>
      </c>
    </row>
    <row r="22" spans="1:5" x14ac:dyDescent="0.3">
      <c r="A22" s="14"/>
      <c r="B22" s="14" t="s">
        <v>601</v>
      </c>
      <c r="C22" s="14">
        <v>4105</v>
      </c>
      <c r="D22" s="14">
        <v>10255</v>
      </c>
      <c r="E22" s="14">
        <v>14360</v>
      </c>
    </row>
    <row r="23" spans="1:5" x14ac:dyDescent="0.3">
      <c r="A23" s="14"/>
      <c r="B23" s="14" t="s">
        <v>596</v>
      </c>
      <c r="C23" s="14">
        <v>23425</v>
      </c>
      <c r="D23" s="14"/>
      <c r="E23" s="14">
        <v>23425</v>
      </c>
    </row>
    <row r="24" spans="1:5" x14ac:dyDescent="0.3">
      <c r="A24" s="14"/>
      <c r="B24" s="14" t="s">
        <v>625</v>
      </c>
      <c r="C24" s="14"/>
      <c r="D24" s="14">
        <v>9695</v>
      </c>
      <c r="E24" s="14">
        <v>9695</v>
      </c>
    </row>
    <row r="25" spans="1:5" x14ac:dyDescent="0.3">
      <c r="A25" s="14"/>
      <c r="B25" s="14" t="s">
        <v>592</v>
      </c>
      <c r="C25" s="14">
        <v>25173</v>
      </c>
      <c r="D25" s="14">
        <v>1571</v>
      </c>
      <c r="E25" s="14">
        <v>26744</v>
      </c>
    </row>
    <row r="26" spans="1:5" ht="18" x14ac:dyDescent="0.35">
      <c r="A26" s="8" t="s">
        <v>672</v>
      </c>
      <c r="B26" s="8"/>
      <c r="C26" s="8">
        <v>79262</v>
      </c>
      <c r="D26" s="8">
        <v>21521</v>
      </c>
      <c r="E26" s="8">
        <v>100783</v>
      </c>
    </row>
    <row r="27" spans="1:5" x14ac:dyDescent="0.3">
      <c r="A27" s="14" t="s">
        <v>588</v>
      </c>
      <c r="B27" s="14" t="s">
        <v>630</v>
      </c>
      <c r="C27" s="14">
        <v>3124</v>
      </c>
      <c r="D27" s="14">
        <v>4453</v>
      </c>
      <c r="E27" s="14">
        <v>7577</v>
      </c>
    </row>
    <row r="28" spans="1:5" x14ac:dyDescent="0.3">
      <c r="A28" s="14"/>
      <c r="B28" s="14" t="s">
        <v>606</v>
      </c>
      <c r="C28" s="14">
        <v>925</v>
      </c>
      <c r="D28" s="14">
        <v>23889</v>
      </c>
      <c r="E28" s="14">
        <v>24814</v>
      </c>
    </row>
    <row r="29" spans="1:5" x14ac:dyDescent="0.3">
      <c r="A29" s="14"/>
      <c r="B29" s="14" t="s">
        <v>587</v>
      </c>
      <c r="C29" s="14">
        <v>37548</v>
      </c>
      <c r="D29" s="14">
        <v>9904</v>
      </c>
      <c r="E29" s="14">
        <v>47452</v>
      </c>
    </row>
    <row r="30" spans="1:5" x14ac:dyDescent="0.3">
      <c r="A30" s="14"/>
      <c r="B30" s="14" t="s">
        <v>601</v>
      </c>
      <c r="C30" s="14">
        <v>15346</v>
      </c>
      <c r="D30" s="14"/>
      <c r="E30" s="14">
        <v>15346</v>
      </c>
    </row>
    <row r="31" spans="1:5" x14ac:dyDescent="0.3">
      <c r="A31" s="14"/>
      <c r="B31" s="14" t="s">
        <v>596</v>
      </c>
      <c r="C31" s="14">
        <v>21494</v>
      </c>
      <c r="D31" s="14"/>
      <c r="E31" s="14">
        <v>21494</v>
      </c>
    </row>
    <row r="32" spans="1:5" x14ac:dyDescent="0.3">
      <c r="A32" s="14"/>
      <c r="B32" s="14" t="s">
        <v>625</v>
      </c>
      <c r="C32" s="14">
        <v>13037</v>
      </c>
      <c r="D32" s="14"/>
      <c r="E32" s="14">
        <v>13037</v>
      </c>
    </row>
    <row r="33" spans="1:5" x14ac:dyDescent="0.3">
      <c r="A33" s="14"/>
      <c r="B33" s="14" t="s">
        <v>592</v>
      </c>
      <c r="C33" s="14"/>
      <c r="D33" s="14">
        <v>8717</v>
      </c>
      <c r="E33" s="14">
        <v>8717</v>
      </c>
    </row>
    <row r="34" spans="1:5" ht="18" x14ac:dyDescent="0.35">
      <c r="A34" s="8" t="s">
        <v>673</v>
      </c>
      <c r="B34" s="8"/>
      <c r="C34" s="8">
        <v>91474</v>
      </c>
      <c r="D34" s="8">
        <v>46963</v>
      </c>
      <c r="E34" s="8">
        <v>138437</v>
      </c>
    </row>
    <row r="35" spans="1:5" ht="18" x14ac:dyDescent="0.35">
      <c r="A35" s="8" t="s">
        <v>551</v>
      </c>
      <c r="B35" s="8"/>
      <c r="C35" s="8">
        <v>374517</v>
      </c>
      <c r="D35" s="8">
        <v>196379</v>
      </c>
      <c r="E35" s="8">
        <v>570896</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B1BE-A456-4E42-B0FB-CA6666847E94}">
  <dimension ref="A1:N34"/>
  <sheetViews>
    <sheetView zoomScale="93" workbookViewId="0">
      <selection activeCell="A3" sqref="A3"/>
    </sheetView>
  </sheetViews>
  <sheetFormatPr defaultRowHeight="14.4" x14ac:dyDescent="0.3"/>
  <cols>
    <col min="1" max="1" width="14.44140625" bestFit="1" customWidth="1"/>
    <col min="2" max="2" width="10.88671875" style="7" bestFit="1" customWidth="1"/>
    <col min="3" max="3" width="19.5546875" style="7" bestFit="1" customWidth="1"/>
    <col min="4" max="4" width="13.44140625" style="6" bestFit="1" customWidth="1"/>
    <col min="5" max="5" width="17.5546875" style="7" bestFit="1" customWidth="1"/>
    <col min="6" max="6" width="20" style="7" bestFit="1" customWidth="1"/>
    <col min="9" max="9" width="18.88671875" bestFit="1" customWidth="1"/>
    <col min="10" max="10" width="14.88671875" style="7" bestFit="1" customWidth="1"/>
    <col min="11" max="11" width="21.77734375" style="7" bestFit="1" customWidth="1"/>
    <col min="12" max="12" width="16.77734375" bestFit="1" customWidth="1"/>
    <col min="13" max="13" width="20.109375" style="7" bestFit="1" customWidth="1"/>
    <col min="14" max="14" width="22.21875" style="7" bestFit="1" customWidth="1"/>
    <col min="15" max="15" width="20.109375" bestFit="1" customWidth="1"/>
    <col min="16" max="16" width="22.21875" bestFit="1" customWidth="1"/>
  </cols>
  <sheetData>
    <row r="1" spans="1:14" ht="18" x14ac:dyDescent="0.35">
      <c r="A1" s="36" t="s">
        <v>561</v>
      </c>
      <c r="B1" s="36"/>
      <c r="C1" s="36"/>
      <c r="D1" s="36"/>
      <c r="E1" s="36"/>
      <c r="F1" s="36"/>
      <c r="I1" s="36" t="s">
        <v>563</v>
      </c>
      <c r="J1" s="36"/>
      <c r="K1" s="36"/>
      <c r="L1" s="36"/>
      <c r="M1" s="36"/>
      <c r="N1" s="36"/>
    </row>
    <row r="3" spans="1:14" ht="18" x14ac:dyDescent="0.35">
      <c r="A3" s="8" t="s">
        <v>1</v>
      </c>
      <c r="B3" s="9" t="s">
        <v>556</v>
      </c>
      <c r="C3" s="9" t="s">
        <v>557</v>
      </c>
      <c r="D3" s="10" t="s">
        <v>558</v>
      </c>
      <c r="E3" s="9" t="s">
        <v>559</v>
      </c>
      <c r="F3" s="9" t="s">
        <v>560</v>
      </c>
      <c r="I3" s="8" t="s">
        <v>6</v>
      </c>
      <c r="J3" s="9" t="s">
        <v>556</v>
      </c>
      <c r="K3" s="9" t="s">
        <v>557</v>
      </c>
      <c r="L3" s="8" t="s">
        <v>558</v>
      </c>
      <c r="M3" s="9" t="s">
        <v>559</v>
      </c>
      <c r="N3" s="9" t="s">
        <v>560</v>
      </c>
    </row>
    <row r="4" spans="1:14" x14ac:dyDescent="0.3">
      <c r="A4" s="11">
        <v>46266</v>
      </c>
      <c r="B4" s="12">
        <v>2636</v>
      </c>
      <c r="C4" s="12">
        <v>88235</v>
      </c>
      <c r="D4" s="13">
        <v>0.34</v>
      </c>
      <c r="E4" s="12">
        <v>86334.900000000009</v>
      </c>
      <c r="F4" s="12">
        <v>34584.600000000006</v>
      </c>
      <c r="I4" s="14" t="s">
        <v>143</v>
      </c>
      <c r="J4" s="12">
        <v>3584</v>
      </c>
      <c r="K4" s="12">
        <v>170890</v>
      </c>
      <c r="L4" s="14">
        <v>0.26</v>
      </c>
      <c r="M4" s="12">
        <v>168911.15000000002</v>
      </c>
      <c r="N4" s="12">
        <v>67934.050000000017</v>
      </c>
    </row>
    <row r="5" spans="1:14" x14ac:dyDescent="0.3">
      <c r="A5" s="11">
        <v>46267</v>
      </c>
      <c r="B5" s="12">
        <v>1350</v>
      </c>
      <c r="C5" s="12">
        <v>46610</v>
      </c>
      <c r="D5" s="13">
        <v>0.14000000000000001</v>
      </c>
      <c r="E5" s="12">
        <v>46338.2</v>
      </c>
      <c r="F5" s="12">
        <v>19287.3</v>
      </c>
      <c r="I5" s="14" t="s">
        <v>117</v>
      </c>
      <c r="J5" s="12">
        <v>2929</v>
      </c>
      <c r="K5" s="12">
        <v>91970</v>
      </c>
      <c r="L5" s="14">
        <v>0.62</v>
      </c>
      <c r="M5" s="12">
        <v>89617.749999999985</v>
      </c>
      <c r="N5" s="12">
        <v>36296.049999999988</v>
      </c>
    </row>
    <row r="6" spans="1:14" x14ac:dyDescent="0.3">
      <c r="A6" s="11">
        <v>46268</v>
      </c>
      <c r="B6" s="12">
        <v>2124</v>
      </c>
      <c r="C6" s="12">
        <v>77120</v>
      </c>
      <c r="D6" s="13">
        <v>0.25</v>
      </c>
      <c r="E6" s="12">
        <v>75917.299999999988</v>
      </c>
      <c r="F6" s="12">
        <v>31130.5</v>
      </c>
      <c r="I6" s="14" t="s">
        <v>43</v>
      </c>
      <c r="J6" s="12">
        <v>3923</v>
      </c>
      <c r="K6" s="12">
        <v>118990</v>
      </c>
      <c r="L6" s="14">
        <v>0.65000000000000013</v>
      </c>
      <c r="M6" s="12">
        <v>116424.25</v>
      </c>
      <c r="N6" s="12">
        <v>47668.549999999996</v>
      </c>
    </row>
    <row r="7" spans="1:14" x14ac:dyDescent="0.3">
      <c r="A7" s="11">
        <v>46269</v>
      </c>
      <c r="B7" s="12">
        <v>1399</v>
      </c>
      <c r="C7" s="12">
        <v>46360</v>
      </c>
      <c r="D7" s="13">
        <v>0.22999999999999998</v>
      </c>
      <c r="E7" s="12">
        <v>45346.5</v>
      </c>
      <c r="F7" s="12">
        <v>18634</v>
      </c>
      <c r="I7" s="14" t="s">
        <v>85</v>
      </c>
      <c r="J7" s="12">
        <v>3310</v>
      </c>
      <c r="K7" s="12">
        <v>128685</v>
      </c>
      <c r="L7" s="14">
        <v>0.53</v>
      </c>
      <c r="M7" s="12">
        <v>125925.15000000001</v>
      </c>
      <c r="N7" s="12">
        <v>50974.75</v>
      </c>
    </row>
    <row r="8" spans="1:14" x14ac:dyDescent="0.3">
      <c r="A8" s="11">
        <v>46270</v>
      </c>
      <c r="B8" s="12">
        <v>1080</v>
      </c>
      <c r="C8" s="12">
        <v>37645</v>
      </c>
      <c r="D8" s="13">
        <v>0.22</v>
      </c>
      <c r="E8" s="12">
        <v>36843.199999999997</v>
      </c>
      <c r="F8" s="12">
        <v>15204.1</v>
      </c>
      <c r="I8" s="14" t="s">
        <v>128</v>
      </c>
      <c r="J8" s="12">
        <v>3641</v>
      </c>
      <c r="K8" s="12">
        <v>135875</v>
      </c>
      <c r="L8" s="14">
        <v>0.4300000000000001</v>
      </c>
      <c r="M8" s="12">
        <v>133564.85</v>
      </c>
      <c r="N8" s="12">
        <v>54663.950000000004</v>
      </c>
    </row>
    <row r="9" spans="1:14" x14ac:dyDescent="0.3">
      <c r="A9" s="11">
        <v>46271</v>
      </c>
      <c r="B9" s="12">
        <v>2701</v>
      </c>
      <c r="C9" s="12">
        <v>124375</v>
      </c>
      <c r="D9" s="13">
        <v>0.41000000000000003</v>
      </c>
      <c r="E9" s="12">
        <v>121822.40000000001</v>
      </c>
      <c r="F9" s="12">
        <v>48743.399999999994</v>
      </c>
      <c r="I9" s="14" t="s">
        <v>98</v>
      </c>
      <c r="J9" s="12">
        <v>3149</v>
      </c>
      <c r="K9" s="12">
        <v>103360</v>
      </c>
      <c r="L9" s="14">
        <v>0.46000000000000013</v>
      </c>
      <c r="M9" s="12">
        <v>101770.8</v>
      </c>
      <c r="N9" s="12">
        <v>41893.200000000004</v>
      </c>
    </row>
    <row r="10" spans="1:14" x14ac:dyDescent="0.3">
      <c r="A10" s="11">
        <v>46272</v>
      </c>
      <c r="B10" s="12">
        <v>1872</v>
      </c>
      <c r="C10" s="12">
        <v>71050</v>
      </c>
      <c r="D10" s="13">
        <v>0.35</v>
      </c>
      <c r="E10" s="12">
        <v>69450.649999999994</v>
      </c>
      <c r="F10" s="12">
        <v>28191.85</v>
      </c>
      <c r="I10" s="14" t="s">
        <v>51</v>
      </c>
      <c r="J10" s="12">
        <v>4452</v>
      </c>
      <c r="K10" s="12">
        <v>149250</v>
      </c>
      <c r="L10" s="14">
        <v>0.70000000000000029</v>
      </c>
      <c r="M10" s="12">
        <v>146077.70000000001</v>
      </c>
      <c r="N10" s="12">
        <v>59995.5</v>
      </c>
    </row>
    <row r="11" spans="1:14" x14ac:dyDescent="0.3">
      <c r="A11" s="11">
        <v>46273</v>
      </c>
      <c r="B11" s="12">
        <v>1515</v>
      </c>
      <c r="C11" s="12">
        <v>65225</v>
      </c>
      <c r="D11" s="13">
        <v>0.24</v>
      </c>
      <c r="E11" s="12">
        <v>64423.55</v>
      </c>
      <c r="F11" s="12">
        <v>26387.55</v>
      </c>
      <c r="I11" s="14" t="s">
        <v>35</v>
      </c>
      <c r="J11" s="12">
        <v>3489</v>
      </c>
      <c r="K11" s="12">
        <v>123345</v>
      </c>
      <c r="L11" s="14">
        <v>0.52</v>
      </c>
      <c r="M11" s="12">
        <v>121419.7</v>
      </c>
      <c r="N11" s="12">
        <v>49547.600000000006</v>
      </c>
    </row>
    <row r="12" spans="1:14" x14ac:dyDescent="0.3">
      <c r="A12" s="11">
        <v>46274</v>
      </c>
      <c r="B12" s="12">
        <v>1771</v>
      </c>
      <c r="C12" s="12">
        <v>52085</v>
      </c>
      <c r="D12" s="13">
        <v>0.26999999999999996</v>
      </c>
      <c r="E12" s="12">
        <v>51027.599999999991</v>
      </c>
      <c r="F12" s="12">
        <v>20844.899999999998</v>
      </c>
      <c r="I12" s="14" t="s">
        <v>57</v>
      </c>
      <c r="J12" s="12">
        <v>5377</v>
      </c>
      <c r="K12" s="12">
        <v>204470</v>
      </c>
      <c r="L12" s="14">
        <v>0.62000000000000022</v>
      </c>
      <c r="M12" s="12">
        <v>201293.9</v>
      </c>
      <c r="N12" s="12">
        <v>81675.5</v>
      </c>
    </row>
    <row r="13" spans="1:14" x14ac:dyDescent="0.3">
      <c r="A13" s="11">
        <v>46275</v>
      </c>
      <c r="B13" s="12">
        <v>777</v>
      </c>
      <c r="C13" s="12">
        <v>22750</v>
      </c>
      <c r="D13" s="13">
        <v>0.19</v>
      </c>
      <c r="E13" s="12">
        <v>22227</v>
      </c>
      <c r="F13" s="12">
        <v>9220.6</v>
      </c>
      <c r="I13" s="14" t="s">
        <v>71</v>
      </c>
      <c r="J13" s="12">
        <v>3138</v>
      </c>
      <c r="K13" s="12">
        <v>92870</v>
      </c>
      <c r="L13" s="14">
        <v>0.59000000000000008</v>
      </c>
      <c r="M13" s="12">
        <v>90867.200000000012</v>
      </c>
      <c r="N13" s="12">
        <v>37198.800000000003</v>
      </c>
    </row>
    <row r="14" spans="1:14" x14ac:dyDescent="0.3">
      <c r="A14" s="11">
        <v>46276</v>
      </c>
      <c r="B14" s="12">
        <v>2583</v>
      </c>
      <c r="C14" s="12">
        <v>101060</v>
      </c>
      <c r="D14" s="13">
        <v>0.44000000000000006</v>
      </c>
      <c r="E14" s="12">
        <v>99305.05</v>
      </c>
      <c r="F14" s="12">
        <v>40274.65</v>
      </c>
      <c r="I14" s="14" t="s">
        <v>79</v>
      </c>
      <c r="J14" s="12">
        <v>3740</v>
      </c>
      <c r="K14" s="12">
        <v>131785</v>
      </c>
      <c r="L14" s="14">
        <v>0.70000000000000029</v>
      </c>
      <c r="M14" s="12">
        <v>128994.1</v>
      </c>
      <c r="N14" s="12">
        <v>52765.100000000006</v>
      </c>
    </row>
    <row r="15" spans="1:14" x14ac:dyDescent="0.3">
      <c r="A15" s="11">
        <v>46277</v>
      </c>
      <c r="B15" s="12">
        <v>1972</v>
      </c>
      <c r="C15" s="12">
        <v>87110</v>
      </c>
      <c r="D15" s="13">
        <v>0.24999999999999997</v>
      </c>
      <c r="E15" s="12">
        <v>85872.9</v>
      </c>
      <c r="F15" s="12">
        <v>34754.5</v>
      </c>
      <c r="I15" s="14" t="s">
        <v>102</v>
      </c>
      <c r="J15" s="12">
        <v>3421</v>
      </c>
      <c r="K15" s="12">
        <v>100220</v>
      </c>
      <c r="L15" s="14">
        <v>0.55000000000000004</v>
      </c>
      <c r="M15" s="12">
        <v>98312.4</v>
      </c>
      <c r="N15" s="12">
        <v>40622.5</v>
      </c>
    </row>
    <row r="16" spans="1:14" x14ac:dyDescent="0.3">
      <c r="A16" s="11">
        <v>46278</v>
      </c>
      <c r="B16" s="12">
        <v>2000</v>
      </c>
      <c r="C16" s="12">
        <v>67495</v>
      </c>
      <c r="D16" s="13">
        <v>0.22</v>
      </c>
      <c r="E16" s="12">
        <v>67011.95</v>
      </c>
      <c r="F16" s="12">
        <v>27720.65</v>
      </c>
      <c r="I16" s="14" t="s">
        <v>113</v>
      </c>
      <c r="J16" s="12">
        <v>3028</v>
      </c>
      <c r="K16" s="12">
        <v>113745</v>
      </c>
      <c r="L16" s="14">
        <v>0.56000000000000005</v>
      </c>
      <c r="M16" s="12">
        <v>111053.25</v>
      </c>
      <c r="N16" s="12">
        <v>44849.95</v>
      </c>
    </row>
    <row r="17" spans="1:14" x14ac:dyDescent="0.3">
      <c r="A17" s="11">
        <v>46279</v>
      </c>
      <c r="B17" s="12">
        <v>2424</v>
      </c>
      <c r="C17" s="12">
        <v>116790</v>
      </c>
      <c r="D17" s="13">
        <v>0.46</v>
      </c>
      <c r="E17" s="12">
        <v>113791.15000000001</v>
      </c>
      <c r="F17" s="12">
        <v>45083.65</v>
      </c>
      <c r="I17" s="14" t="s">
        <v>93</v>
      </c>
      <c r="J17" s="12">
        <v>2963</v>
      </c>
      <c r="K17" s="12">
        <v>103600</v>
      </c>
      <c r="L17" s="14">
        <v>0.4900000000000001</v>
      </c>
      <c r="M17" s="12">
        <v>102277.2</v>
      </c>
      <c r="N17" s="12">
        <v>41914.699999999997</v>
      </c>
    </row>
    <row r="18" spans="1:14" x14ac:dyDescent="0.3">
      <c r="A18" s="11">
        <v>46280</v>
      </c>
      <c r="B18" s="12">
        <v>1374</v>
      </c>
      <c r="C18" s="12">
        <v>47025</v>
      </c>
      <c r="D18" s="13">
        <v>0.37</v>
      </c>
      <c r="E18" s="12">
        <v>45504.5</v>
      </c>
      <c r="F18" s="12">
        <v>18206.3</v>
      </c>
      <c r="I18" s="14" t="s">
        <v>24</v>
      </c>
      <c r="J18" s="12">
        <v>3435</v>
      </c>
      <c r="K18" s="12">
        <v>157855</v>
      </c>
      <c r="L18" s="14">
        <v>0.67000000000000015</v>
      </c>
      <c r="M18" s="12">
        <v>154821.75</v>
      </c>
      <c r="N18" s="12">
        <v>62247.85</v>
      </c>
    </row>
    <row r="19" spans="1:14" ht="18" x14ac:dyDescent="0.35">
      <c r="A19" s="11">
        <v>46281</v>
      </c>
      <c r="B19" s="12">
        <v>2262</v>
      </c>
      <c r="C19" s="12">
        <v>89415</v>
      </c>
      <c r="D19" s="13">
        <v>0.38</v>
      </c>
      <c r="E19" s="12">
        <v>87509.5</v>
      </c>
      <c r="F19" s="12">
        <v>35383.1</v>
      </c>
      <c r="I19" s="8" t="s">
        <v>551</v>
      </c>
      <c r="J19" s="9">
        <v>53579</v>
      </c>
      <c r="K19" s="9">
        <v>1926910</v>
      </c>
      <c r="L19" s="8">
        <v>8.3500000000000014</v>
      </c>
      <c r="M19" s="9">
        <v>1891331.15</v>
      </c>
      <c r="N19" s="9">
        <v>770248.04999999993</v>
      </c>
    </row>
    <row r="20" spans="1:14" x14ac:dyDescent="0.3">
      <c r="A20" s="11">
        <v>46282</v>
      </c>
      <c r="B20" s="12">
        <v>2242</v>
      </c>
      <c r="C20" s="12">
        <v>84815</v>
      </c>
      <c r="D20" s="13">
        <v>0.29000000000000004</v>
      </c>
      <c r="E20" s="12">
        <v>83150.099999999991</v>
      </c>
      <c r="F20" s="12">
        <v>33363.5</v>
      </c>
    </row>
    <row r="21" spans="1:14" x14ac:dyDescent="0.3">
      <c r="A21" s="11">
        <v>46283</v>
      </c>
      <c r="B21" s="12">
        <v>1551</v>
      </c>
      <c r="C21" s="12">
        <v>42320</v>
      </c>
      <c r="D21" s="13">
        <v>0.14000000000000001</v>
      </c>
      <c r="E21" s="12">
        <v>42139.799999999996</v>
      </c>
      <c r="F21" s="12">
        <v>17672</v>
      </c>
    </row>
    <row r="22" spans="1:14" x14ac:dyDescent="0.3">
      <c r="A22" s="11">
        <v>46284</v>
      </c>
      <c r="B22" s="12">
        <v>1128</v>
      </c>
      <c r="C22" s="12">
        <v>25290</v>
      </c>
      <c r="D22" s="13">
        <v>0.30000000000000004</v>
      </c>
      <c r="E22" s="12">
        <v>24747.95</v>
      </c>
      <c r="F22" s="12">
        <v>10417.950000000001</v>
      </c>
    </row>
    <row r="23" spans="1:14" x14ac:dyDescent="0.3">
      <c r="A23" s="11">
        <v>46285</v>
      </c>
      <c r="B23" s="12">
        <v>2338</v>
      </c>
      <c r="C23" s="12">
        <v>81250</v>
      </c>
      <c r="D23" s="13">
        <v>0.2</v>
      </c>
      <c r="E23" s="12">
        <v>80080.150000000009</v>
      </c>
      <c r="F23" s="12">
        <v>33137.85</v>
      </c>
    </row>
    <row r="24" spans="1:14" x14ac:dyDescent="0.3">
      <c r="A24" s="11">
        <v>46286</v>
      </c>
      <c r="B24" s="12">
        <v>1869</v>
      </c>
      <c r="C24" s="12">
        <v>47810</v>
      </c>
      <c r="D24" s="13">
        <v>0.34000000000000008</v>
      </c>
      <c r="E24" s="12">
        <v>46703</v>
      </c>
      <c r="F24" s="12">
        <v>19081.300000000003</v>
      </c>
    </row>
    <row r="25" spans="1:14" x14ac:dyDescent="0.3">
      <c r="A25" s="11">
        <v>46287</v>
      </c>
      <c r="B25" s="12">
        <v>1957</v>
      </c>
      <c r="C25" s="12">
        <v>74960</v>
      </c>
      <c r="D25" s="13">
        <v>0.38000000000000012</v>
      </c>
      <c r="E25" s="12">
        <v>73516.649999999994</v>
      </c>
      <c r="F25" s="12">
        <v>30010.35</v>
      </c>
    </row>
    <row r="26" spans="1:14" x14ac:dyDescent="0.3">
      <c r="A26" s="11">
        <v>46288</v>
      </c>
      <c r="B26" s="12">
        <v>1110</v>
      </c>
      <c r="C26" s="12">
        <v>27180</v>
      </c>
      <c r="D26" s="13">
        <v>0.22000000000000003</v>
      </c>
      <c r="E26" s="12">
        <v>26763.5</v>
      </c>
      <c r="F26" s="12">
        <v>11360.1</v>
      </c>
    </row>
    <row r="27" spans="1:14" x14ac:dyDescent="0.3">
      <c r="A27" s="11">
        <v>46289</v>
      </c>
      <c r="B27" s="12">
        <v>690</v>
      </c>
      <c r="C27" s="12">
        <v>31750</v>
      </c>
      <c r="D27" s="13">
        <v>0.2</v>
      </c>
      <c r="E27" s="12">
        <v>31342.05</v>
      </c>
      <c r="F27" s="12">
        <v>12727.45</v>
      </c>
    </row>
    <row r="28" spans="1:14" x14ac:dyDescent="0.3">
      <c r="A28" s="11">
        <v>46290</v>
      </c>
      <c r="B28" s="12">
        <v>1827</v>
      </c>
      <c r="C28" s="12">
        <v>51265</v>
      </c>
      <c r="D28" s="13">
        <v>0.27</v>
      </c>
      <c r="E28" s="12">
        <v>50115.3</v>
      </c>
      <c r="F28" s="12">
        <v>20765.899999999998</v>
      </c>
    </row>
    <row r="29" spans="1:14" x14ac:dyDescent="0.3">
      <c r="A29" s="11">
        <v>46291</v>
      </c>
      <c r="B29" s="12">
        <v>1101</v>
      </c>
      <c r="C29" s="12">
        <v>45485</v>
      </c>
      <c r="D29" s="13">
        <v>0.30000000000000004</v>
      </c>
      <c r="E29" s="12">
        <v>43981.599999999999</v>
      </c>
      <c r="F29" s="12">
        <v>17296.400000000001</v>
      </c>
    </row>
    <row r="30" spans="1:14" x14ac:dyDescent="0.3">
      <c r="A30" s="11">
        <v>46292</v>
      </c>
      <c r="B30" s="12">
        <v>2509</v>
      </c>
      <c r="C30" s="12">
        <v>75450</v>
      </c>
      <c r="D30" s="13">
        <v>0.29000000000000004</v>
      </c>
      <c r="E30" s="12">
        <v>74481.799999999988</v>
      </c>
      <c r="F30" s="12">
        <v>31054.6</v>
      </c>
    </row>
    <row r="31" spans="1:14" x14ac:dyDescent="0.3">
      <c r="A31" s="11">
        <v>46293</v>
      </c>
      <c r="B31" s="12">
        <v>1848</v>
      </c>
      <c r="C31" s="12">
        <v>67980</v>
      </c>
      <c r="D31" s="13">
        <v>0.27</v>
      </c>
      <c r="E31" s="12">
        <v>66930.149999999994</v>
      </c>
      <c r="F31" s="12">
        <v>27524.95</v>
      </c>
    </row>
    <row r="32" spans="1:14" x14ac:dyDescent="0.3">
      <c r="A32" s="11">
        <v>46294</v>
      </c>
      <c r="B32" s="12">
        <v>1676</v>
      </c>
      <c r="C32" s="12">
        <v>56515</v>
      </c>
      <c r="D32" s="13">
        <v>0.16</v>
      </c>
      <c r="E32" s="12">
        <v>55755.65</v>
      </c>
      <c r="F32" s="12">
        <v>22845.750000000004</v>
      </c>
    </row>
    <row r="33" spans="1:6" x14ac:dyDescent="0.3">
      <c r="A33" s="11">
        <v>46295</v>
      </c>
      <c r="B33" s="12">
        <v>1893</v>
      </c>
      <c r="C33" s="12">
        <v>74490</v>
      </c>
      <c r="D33" s="13">
        <v>0.22999999999999998</v>
      </c>
      <c r="E33" s="12">
        <v>72897.100000000006</v>
      </c>
      <c r="F33" s="12">
        <v>29338.300000000003</v>
      </c>
    </row>
    <row r="34" spans="1:6" ht="18" x14ac:dyDescent="0.35">
      <c r="A34" s="8" t="s">
        <v>551</v>
      </c>
      <c r="B34" s="9">
        <v>53579</v>
      </c>
      <c r="C34" s="9">
        <v>1926910</v>
      </c>
      <c r="D34" s="10">
        <v>8.35</v>
      </c>
      <c r="E34" s="9">
        <v>1891331.1500000001</v>
      </c>
      <c r="F34" s="9">
        <v>770248.05</v>
      </c>
    </row>
  </sheetData>
  <mergeCells count="2">
    <mergeCell ref="A1:F1"/>
    <mergeCell ref="I1:N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6C8E-C0B2-4BB6-AC4E-EAA7E2D3A43C}">
  <dimension ref="A1:D14"/>
  <sheetViews>
    <sheetView workbookViewId="0">
      <selection activeCell="D31" sqref="D31"/>
    </sheetView>
  </sheetViews>
  <sheetFormatPr defaultRowHeight="14.4" x14ac:dyDescent="0.3"/>
  <cols>
    <col min="1" max="1" width="20.77734375" bestFit="1" customWidth="1"/>
    <col min="2" max="2" width="14.88671875" style="7" bestFit="1" customWidth="1"/>
    <col min="3" max="3" width="20.109375" style="7" bestFit="1" customWidth="1"/>
    <col min="4" max="4" width="22.21875" style="7" bestFit="1" customWidth="1"/>
    <col min="5" max="5" width="20.109375" bestFit="1" customWidth="1"/>
  </cols>
  <sheetData>
    <row r="1" spans="1:4" ht="21" x14ac:dyDescent="0.4">
      <c r="A1" s="37" t="s">
        <v>564</v>
      </c>
      <c r="B1" s="38"/>
      <c r="C1" s="38"/>
      <c r="D1" s="39"/>
    </row>
    <row r="3" spans="1:4" ht="18" x14ac:dyDescent="0.35">
      <c r="A3" s="8" t="s">
        <v>3</v>
      </c>
      <c r="B3" s="9" t="s">
        <v>556</v>
      </c>
      <c r="C3" s="9" t="s">
        <v>559</v>
      </c>
      <c r="D3" s="9" t="s">
        <v>560</v>
      </c>
    </row>
    <row r="4" spans="1:4" x14ac:dyDescent="0.3">
      <c r="A4" s="14" t="s">
        <v>21</v>
      </c>
      <c r="B4" s="12">
        <v>8063</v>
      </c>
      <c r="C4" s="12">
        <v>672343.20000000007</v>
      </c>
      <c r="D4" s="12">
        <v>261130.19999999995</v>
      </c>
    </row>
    <row r="5" spans="1:4" x14ac:dyDescent="0.3">
      <c r="A5" s="14" t="s">
        <v>32</v>
      </c>
      <c r="B5" s="12">
        <v>4484</v>
      </c>
      <c r="C5" s="12">
        <v>219406</v>
      </c>
      <c r="D5" s="12">
        <v>89370</v>
      </c>
    </row>
    <row r="6" spans="1:4" x14ac:dyDescent="0.3">
      <c r="A6" s="14" t="s">
        <v>61</v>
      </c>
      <c r="B6" s="12">
        <v>5580</v>
      </c>
      <c r="C6" s="12">
        <v>219141.59999999998</v>
      </c>
      <c r="D6" s="12">
        <v>90801.600000000006</v>
      </c>
    </row>
    <row r="7" spans="1:4" x14ac:dyDescent="0.3">
      <c r="A7" s="14" t="s">
        <v>83</v>
      </c>
      <c r="B7" s="12">
        <v>4561</v>
      </c>
      <c r="C7" s="12">
        <v>157531.85</v>
      </c>
      <c r="D7" s="12">
        <v>66311.850000000006</v>
      </c>
    </row>
    <row r="8" spans="1:4" x14ac:dyDescent="0.3">
      <c r="A8" s="14" t="s">
        <v>48</v>
      </c>
      <c r="B8" s="12">
        <v>4707</v>
      </c>
      <c r="C8" s="12">
        <v>116115.5</v>
      </c>
      <c r="D8" s="12">
        <v>50217.5</v>
      </c>
    </row>
    <row r="9" spans="1:4" x14ac:dyDescent="0.3">
      <c r="A9" s="14" t="s">
        <v>89</v>
      </c>
      <c r="B9" s="12">
        <v>5900</v>
      </c>
      <c r="C9" s="12">
        <v>115079.80000000002</v>
      </c>
      <c r="D9" s="12">
        <v>50179.799999999996</v>
      </c>
    </row>
    <row r="10" spans="1:4" x14ac:dyDescent="0.3">
      <c r="A10" s="14" t="s">
        <v>66</v>
      </c>
      <c r="B10" s="12">
        <v>4593</v>
      </c>
      <c r="C10" s="12">
        <v>112925</v>
      </c>
      <c r="D10" s="12">
        <v>47704.400000000009</v>
      </c>
    </row>
    <row r="11" spans="1:4" x14ac:dyDescent="0.3">
      <c r="A11" s="14" t="s">
        <v>77</v>
      </c>
      <c r="B11" s="12">
        <v>5630</v>
      </c>
      <c r="C11" s="12">
        <v>110187</v>
      </c>
      <c r="D11" s="12">
        <v>43753.000000000007</v>
      </c>
    </row>
    <row r="12" spans="1:4" x14ac:dyDescent="0.3">
      <c r="A12" s="14" t="s">
        <v>107</v>
      </c>
      <c r="B12" s="12">
        <v>5960</v>
      </c>
      <c r="C12" s="12">
        <v>87988.800000000003</v>
      </c>
      <c r="D12" s="12">
        <v>37328.799999999996</v>
      </c>
    </row>
    <row r="13" spans="1:4" x14ac:dyDescent="0.3">
      <c r="A13" s="14" t="s">
        <v>41</v>
      </c>
      <c r="B13" s="12">
        <v>4101</v>
      </c>
      <c r="C13" s="12">
        <v>80612.400000000009</v>
      </c>
      <c r="D13" s="12">
        <v>33450.9</v>
      </c>
    </row>
    <row r="14" spans="1:4" ht="18" x14ac:dyDescent="0.35">
      <c r="A14" s="8" t="s">
        <v>551</v>
      </c>
      <c r="B14" s="9">
        <v>53579</v>
      </c>
      <c r="C14" s="9">
        <v>1891331.1500000004</v>
      </c>
      <c r="D14" s="9">
        <v>770248.04999999993</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C687-DCCD-4499-89D2-670F1E4F3B20}">
  <dimension ref="A1:J19"/>
  <sheetViews>
    <sheetView workbookViewId="0">
      <selection activeCell="F30" sqref="F30"/>
    </sheetView>
  </sheetViews>
  <sheetFormatPr defaultRowHeight="14.4" x14ac:dyDescent="0.3"/>
  <cols>
    <col min="1" max="1" width="18.88671875" bestFit="1" customWidth="1"/>
    <col min="2" max="2" width="10.88671875" style="7" bestFit="1" customWidth="1"/>
    <col min="3" max="3" width="17.5546875" style="7" bestFit="1" customWidth="1"/>
    <col min="4" max="4" width="14.44140625" bestFit="1" customWidth="1"/>
    <col min="5" max="5" width="21.77734375" customWidth="1"/>
    <col min="6" max="6" width="18.88671875" bestFit="1" customWidth="1"/>
    <col min="7" max="7" width="11.33203125" bestFit="1" customWidth="1"/>
    <col min="8" max="8" width="10.88671875" style="7" bestFit="1" customWidth="1"/>
    <col min="9" max="9" width="17.5546875" style="7" bestFit="1" customWidth="1"/>
    <col min="10" max="10" width="20" style="7" bestFit="1" customWidth="1"/>
  </cols>
  <sheetData>
    <row r="1" spans="1:10" ht="18" x14ac:dyDescent="0.35">
      <c r="A1" s="40" t="s">
        <v>566</v>
      </c>
      <c r="B1" s="41"/>
      <c r="C1" s="41"/>
      <c r="D1" s="42"/>
      <c r="F1" s="43" t="s">
        <v>567</v>
      </c>
      <c r="G1" s="44"/>
      <c r="H1" s="44"/>
      <c r="I1" s="44"/>
      <c r="J1" s="45"/>
    </row>
    <row r="3" spans="1:10" ht="18" x14ac:dyDescent="0.35">
      <c r="A3" s="8" t="s">
        <v>6</v>
      </c>
      <c r="B3" s="9" t="s">
        <v>556</v>
      </c>
      <c r="C3" s="9" t="s">
        <v>559</v>
      </c>
      <c r="D3" s="8" t="s">
        <v>565</v>
      </c>
      <c r="F3" s="8" t="s">
        <v>6</v>
      </c>
      <c r="G3" s="8" t="s">
        <v>7</v>
      </c>
      <c r="H3" s="9" t="s">
        <v>556</v>
      </c>
      <c r="I3" s="9" t="s">
        <v>559</v>
      </c>
      <c r="J3" s="9" t="s">
        <v>560</v>
      </c>
    </row>
    <row r="4" spans="1:10" x14ac:dyDescent="0.3">
      <c r="A4" s="14" t="s">
        <v>143</v>
      </c>
      <c r="B4" s="12">
        <v>3584</v>
      </c>
      <c r="C4" s="12">
        <v>168911.15000000002</v>
      </c>
      <c r="D4" s="15">
        <f>B4/$B$19</f>
        <v>6.6891879281061606E-2</v>
      </c>
      <c r="F4" s="14" t="s">
        <v>143</v>
      </c>
      <c r="G4" s="14" t="s">
        <v>144</v>
      </c>
      <c r="H4" s="12">
        <v>3584</v>
      </c>
      <c r="I4" s="12">
        <v>168911.15000000002</v>
      </c>
      <c r="J4" s="12">
        <v>67934.050000000017</v>
      </c>
    </row>
    <row r="5" spans="1:10" x14ac:dyDescent="0.3">
      <c r="A5" s="14" t="s">
        <v>117</v>
      </c>
      <c r="B5" s="12">
        <v>2929</v>
      </c>
      <c r="C5" s="12">
        <v>89617.749999999985</v>
      </c>
      <c r="D5" s="15">
        <f t="shared" ref="D5:D19" si="0">B5/$B$19</f>
        <v>5.4666940405755989E-2</v>
      </c>
      <c r="F5" s="14" t="s">
        <v>117</v>
      </c>
      <c r="G5" s="14" t="s">
        <v>118</v>
      </c>
      <c r="H5" s="12">
        <v>2929</v>
      </c>
      <c r="I5" s="12">
        <v>89617.749999999985</v>
      </c>
      <c r="J5" s="12">
        <v>36296.049999999988</v>
      </c>
    </row>
    <row r="6" spans="1:10" x14ac:dyDescent="0.3">
      <c r="A6" s="14" t="s">
        <v>43</v>
      </c>
      <c r="B6" s="12">
        <v>3923</v>
      </c>
      <c r="C6" s="12">
        <v>116424.25</v>
      </c>
      <c r="D6" s="15">
        <f t="shared" si="0"/>
        <v>7.3218985050112914E-2</v>
      </c>
      <c r="F6" s="14" t="s">
        <v>43</v>
      </c>
      <c r="G6" s="14" t="s">
        <v>44</v>
      </c>
      <c r="H6" s="12">
        <v>3923</v>
      </c>
      <c r="I6" s="12">
        <v>116424.25</v>
      </c>
      <c r="J6" s="12">
        <v>47668.549999999996</v>
      </c>
    </row>
    <row r="7" spans="1:10" x14ac:dyDescent="0.3">
      <c r="A7" s="14" t="s">
        <v>85</v>
      </c>
      <c r="B7" s="12">
        <v>3310</v>
      </c>
      <c r="C7" s="12">
        <v>125925.15000000001</v>
      </c>
      <c r="D7" s="15">
        <f t="shared" si="0"/>
        <v>6.1777935385132238E-2</v>
      </c>
      <c r="F7" s="14" t="s">
        <v>85</v>
      </c>
      <c r="G7" s="14" t="s">
        <v>86</v>
      </c>
      <c r="H7" s="12">
        <v>3310</v>
      </c>
      <c r="I7" s="12">
        <v>125925.15000000001</v>
      </c>
      <c r="J7" s="12">
        <v>50974.75</v>
      </c>
    </row>
    <row r="8" spans="1:10" x14ac:dyDescent="0.3">
      <c r="A8" s="14" t="s">
        <v>128</v>
      </c>
      <c r="B8" s="12">
        <v>3641</v>
      </c>
      <c r="C8" s="12">
        <v>133564.85</v>
      </c>
      <c r="D8" s="15">
        <f t="shared" si="0"/>
        <v>6.7955728923645459E-2</v>
      </c>
      <c r="F8" s="14" t="s">
        <v>128</v>
      </c>
      <c r="G8" s="14" t="s">
        <v>129</v>
      </c>
      <c r="H8" s="12">
        <v>3641</v>
      </c>
      <c r="I8" s="12">
        <v>133564.85</v>
      </c>
      <c r="J8" s="12">
        <v>54663.950000000004</v>
      </c>
    </row>
    <row r="9" spans="1:10" x14ac:dyDescent="0.3">
      <c r="A9" s="14" t="s">
        <v>98</v>
      </c>
      <c r="B9" s="12">
        <v>3149</v>
      </c>
      <c r="C9" s="12">
        <v>101770.8</v>
      </c>
      <c r="D9" s="15">
        <f t="shared" si="0"/>
        <v>5.8773026745553292E-2</v>
      </c>
      <c r="F9" s="14" t="s">
        <v>98</v>
      </c>
      <c r="G9" s="14" t="s">
        <v>94</v>
      </c>
      <c r="H9" s="12">
        <v>3149</v>
      </c>
      <c r="I9" s="12">
        <v>101770.8</v>
      </c>
      <c r="J9" s="12">
        <v>41893.200000000004</v>
      </c>
    </row>
    <row r="10" spans="1:10" x14ac:dyDescent="0.3">
      <c r="A10" s="14" t="s">
        <v>51</v>
      </c>
      <c r="B10" s="12">
        <v>4452</v>
      </c>
      <c r="C10" s="12">
        <v>146077.70000000001</v>
      </c>
      <c r="D10" s="15">
        <f t="shared" si="0"/>
        <v>8.3092256294443723E-2</v>
      </c>
      <c r="F10" s="14" t="s">
        <v>51</v>
      </c>
      <c r="G10" s="14" t="s">
        <v>52</v>
      </c>
      <c r="H10" s="12">
        <v>4452</v>
      </c>
      <c r="I10" s="12">
        <v>146077.70000000001</v>
      </c>
      <c r="J10" s="12">
        <v>59995.5</v>
      </c>
    </row>
    <row r="11" spans="1:10" x14ac:dyDescent="0.3">
      <c r="A11" s="14" t="s">
        <v>35</v>
      </c>
      <c r="B11" s="12">
        <v>3489</v>
      </c>
      <c r="C11" s="12">
        <v>121419.7</v>
      </c>
      <c r="D11" s="15">
        <f t="shared" si="0"/>
        <v>6.511879654342187E-2</v>
      </c>
      <c r="F11" s="14" t="s">
        <v>35</v>
      </c>
      <c r="G11" s="14" t="s">
        <v>36</v>
      </c>
      <c r="H11" s="12">
        <v>3489</v>
      </c>
      <c r="I11" s="12">
        <v>121419.7</v>
      </c>
      <c r="J11" s="12">
        <v>49547.600000000006</v>
      </c>
    </row>
    <row r="12" spans="1:10" x14ac:dyDescent="0.3">
      <c r="A12" s="14" t="s">
        <v>57</v>
      </c>
      <c r="B12" s="12">
        <v>5377</v>
      </c>
      <c r="C12" s="12">
        <v>201293.9</v>
      </c>
      <c r="D12" s="15">
        <f t="shared" si="0"/>
        <v>0.10035648295040968</v>
      </c>
      <c r="E12" t="s">
        <v>562</v>
      </c>
      <c r="F12" s="14" t="s">
        <v>57</v>
      </c>
      <c r="G12" s="14" t="s">
        <v>58</v>
      </c>
      <c r="H12" s="12">
        <v>5377</v>
      </c>
      <c r="I12" s="12">
        <v>201293.9</v>
      </c>
      <c r="J12" s="12">
        <v>81675.5</v>
      </c>
    </row>
    <row r="13" spans="1:10" x14ac:dyDescent="0.3">
      <c r="A13" s="14" t="s">
        <v>71</v>
      </c>
      <c r="B13" s="12">
        <v>3138</v>
      </c>
      <c r="C13" s="12">
        <v>90867.200000000012</v>
      </c>
      <c r="D13" s="15">
        <f t="shared" si="0"/>
        <v>5.856772242856343E-2</v>
      </c>
      <c r="F13" s="14" t="s">
        <v>71</v>
      </c>
      <c r="G13" s="14" t="s">
        <v>72</v>
      </c>
      <c r="H13" s="12">
        <v>3138</v>
      </c>
      <c r="I13" s="12">
        <v>90867.200000000012</v>
      </c>
      <c r="J13" s="12">
        <v>37198.800000000003</v>
      </c>
    </row>
    <row r="14" spans="1:10" x14ac:dyDescent="0.3">
      <c r="A14" s="14" t="s">
        <v>79</v>
      </c>
      <c r="B14" s="12">
        <v>3740</v>
      </c>
      <c r="C14" s="12">
        <v>128994.1</v>
      </c>
      <c r="D14" s="15">
        <f t="shared" si="0"/>
        <v>6.9803467776554246E-2</v>
      </c>
      <c r="F14" s="14" t="s">
        <v>79</v>
      </c>
      <c r="G14" s="14" t="s">
        <v>80</v>
      </c>
      <c r="H14" s="12">
        <v>3740</v>
      </c>
      <c r="I14" s="12">
        <v>128994.1</v>
      </c>
      <c r="J14" s="12">
        <v>52765.100000000006</v>
      </c>
    </row>
    <row r="15" spans="1:10" x14ac:dyDescent="0.3">
      <c r="A15" s="14" t="s">
        <v>102</v>
      </c>
      <c r="B15" s="12">
        <v>3421</v>
      </c>
      <c r="C15" s="12">
        <v>98312.4</v>
      </c>
      <c r="D15" s="15">
        <f t="shared" si="0"/>
        <v>6.3849642583848149E-2</v>
      </c>
      <c r="F15" s="14" t="s">
        <v>102</v>
      </c>
      <c r="G15" s="14" t="s">
        <v>103</v>
      </c>
      <c r="H15" s="12">
        <v>3421</v>
      </c>
      <c r="I15" s="12">
        <v>98312.4</v>
      </c>
      <c r="J15" s="12">
        <v>40622.5</v>
      </c>
    </row>
    <row r="16" spans="1:10" x14ac:dyDescent="0.3">
      <c r="A16" s="14" t="s">
        <v>113</v>
      </c>
      <c r="B16" s="12">
        <v>3028</v>
      </c>
      <c r="C16" s="12">
        <v>111053.25</v>
      </c>
      <c r="D16" s="15">
        <f t="shared" si="0"/>
        <v>5.6514679258664775E-2</v>
      </c>
      <c r="F16" s="14" t="s">
        <v>113</v>
      </c>
      <c r="G16" s="14" t="s">
        <v>114</v>
      </c>
      <c r="H16" s="12">
        <v>3028</v>
      </c>
      <c r="I16" s="12">
        <v>111053.25</v>
      </c>
      <c r="J16" s="12">
        <v>44849.95</v>
      </c>
    </row>
    <row r="17" spans="1:10" x14ac:dyDescent="0.3">
      <c r="A17" s="14" t="s">
        <v>93</v>
      </c>
      <c r="B17" s="12">
        <v>2963</v>
      </c>
      <c r="C17" s="12">
        <v>102277.2</v>
      </c>
      <c r="D17" s="15">
        <f t="shared" si="0"/>
        <v>5.5301517385542842E-2</v>
      </c>
      <c r="F17" s="14" t="s">
        <v>93</v>
      </c>
      <c r="G17" s="14" t="s">
        <v>94</v>
      </c>
      <c r="H17" s="12">
        <v>2963</v>
      </c>
      <c r="I17" s="12">
        <v>102277.2</v>
      </c>
      <c r="J17" s="12">
        <v>41914.699999999997</v>
      </c>
    </row>
    <row r="18" spans="1:10" x14ac:dyDescent="0.3">
      <c r="A18" s="14" t="s">
        <v>24</v>
      </c>
      <c r="B18" s="12">
        <v>3435</v>
      </c>
      <c r="C18" s="12">
        <v>154821.75</v>
      </c>
      <c r="D18" s="15">
        <f t="shared" si="0"/>
        <v>6.4110938987289798E-2</v>
      </c>
      <c r="F18" s="14" t="s">
        <v>24</v>
      </c>
      <c r="G18" s="14" t="s">
        <v>25</v>
      </c>
      <c r="H18" s="12">
        <v>3435</v>
      </c>
      <c r="I18" s="12">
        <v>154821.75</v>
      </c>
      <c r="J18" s="12">
        <v>62247.85</v>
      </c>
    </row>
    <row r="19" spans="1:10" ht="18" x14ac:dyDescent="0.35">
      <c r="A19" s="8" t="s">
        <v>551</v>
      </c>
      <c r="B19" s="9">
        <v>53579</v>
      </c>
      <c r="C19" s="9">
        <v>1891331.15</v>
      </c>
      <c r="D19" s="16">
        <f t="shared" si="0"/>
        <v>1</v>
      </c>
      <c r="F19" s="8" t="s">
        <v>551</v>
      </c>
      <c r="G19" s="8"/>
      <c r="H19" s="9">
        <v>53579</v>
      </c>
      <c r="I19" s="9">
        <v>1891331.15</v>
      </c>
      <c r="J19" s="9">
        <v>770248.04999999993</v>
      </c>
    </row>
  </sheetData>
  <mergeCells count="2">
    <mergeCell ref="A1:D1"/>
    <mergeCell ref="F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Guide</vt:lpstr>
      <vt:lpstr>Sales Data</vt:lpstr>
      <vt:lpstr>Expense Data</vt:lpstr>
      <vt:lpstr>Pivot</vt:lpstr>
      <vt:lpstr>Dashboard</vt:lpstr>
      <vt:lpstr>Expense Report</vt:lpstr>
      <vt:lpstr>Daily &amp; Monthly Sales Report</vt:lpstr>
      <vt:lpstr>Product Report</vt:lpstr>
      <vt:lpstr>Custome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BiShT</dc:creator>
  <cp:lastModifiedBy>RoHiT BiShT</cp:lastModifiedBy>
  <dcterms:created xsi:type="dcterms:W3CDTF">2026-10-03T05:25:22Z</dcterms:created>
  <dcterms:modified xsi:type="dcterms:W3CDTF">2026-10-04T06:03:28Z</dcterms:modified>
</cp:coreProperties>
</file>